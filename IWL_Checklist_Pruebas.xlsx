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se usa" sheetId="1" state="visible" r:id="rId1"/>
    <sheet name="Pruebas" sheetId="2" state="visible" r:id="rId2"/>
    <sheet name="Resumen" sheetId="3" state="visible" r:id="rId3"/>
  </sheets>
  <definedNames>
    <definedName name="_xlnm._FilterDatabase" localSheetId="1" hidden="1">'Pruebas'!$A$1:$J$175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3F3F46"/>
    </font>
    <font>
      <b val="1"/>
      <color rgb="003F3F46"/>
    </font>
    <font>
      <b val="1"/>
      <color rgb="00FF007A"/>
      <sz val="16"/>
    </font>
    <font>
      <b val="1"/>
      <color rgb="000D0D11"/>
      <sz val="12"/>
    </font>
    <font>
      <b val="1"/>
      <color rgb="000D0D11"/>
    </font>
    <font>
      <b val="1"/>
      <color rgb="00FF007A"/>
    </font>
  </fonts>
  <fills count="4">
    <fill>
      <patternFill/>
    </fill>
    <fill>
      <patternFill patternType="gray125"/>
    </fill>
    <fill>
      <patternFill patternType="solid">
        <fgColor rgb="000D0D11"/>
      </patternFill>
    </fill>
    <fill>
      <patternFill patternType="solid">
        <fgColor rgb="00F4F4F5"/>
      </patternFill>
    </fill>
  </fills>
  <borders count="2">
    <border>
      <left/>
      <right/>
      <top/>
      <bottom/>
      <diagonal/>
    </border>
    <border>
      <right style="thin">
        <color rgb="00E4E4E7"/>
      </right>
      <bottom style="thin">
        <color rgb="00E4E4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6"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3F3F46"/>
      </font>
      <fill>
        <patternFill patternType="solid">
          <fgColor rgb="00E4E4E7"/>
        </patternFill>
      </fill>
    </dxf>
    <dxf>
      <font>
        <b val="1"/>
        <color rgb="009D0050"/>
      </font>
      <fill>
        <patternFill patternType="solid">
          <fgColor rgb="00FFE4F0"/>
        </patternFill>
      </fill>
    </dxf>
    <dxf>
      <font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62" customWidth="1" min="3" max="3"/>
  </cols>
  <sheetData>
    <row r="1">
      <c r="A1" s="1" t="inlineStr">
        <is>
          <t>Plataforma IWL · pruebas</t>
        </is>
      </c>
      <c r="B1" s="2" t="inlineStr"/>
      <c r="C1" s="2" t="inlineStr"/>
    </row>
    <row r="2">
      <c r="A2" s="2" t="inlineStr"/>
      <c r="B2" s="2" t="inlineStr"/>
      <c r="C2" s="2" t="inlineStr">
        <is>
          <t>Recorrido de todos los módulos. Una fila por cosa que probar.</t>
        </is>
      </c>
    </row>
    <row r="4" ht="24" customHeight="1">
      <c r="A4" s="3" t="inlineStr">
        <is>
          <t>Cómo se rellena</t>
        </is>
      </c>
      <c r="B4" s="2" t="inlineStr"/>
      <c r="C4" s="2" t="inlineStr"/>
    </row>
    <row r="5">
      <c r="A5" s="2" t="inlineStr">
        <is>
          <t>Resultado</t>
        </is>
      </c>
      <c r="B5" s="2" t="inlineStr">
        <is>
          <t>OK / Falla / A medias / Bloqueado / No aplica</t>
        </is>
      </c>
      <c r="C5" s="2" t="inlineStr">
        <is>
          <t>Es un desplegable: se pinta solo del color que toca.</t>
        </is>
      </c>
    </row>
    <row r="6">
      <c r="A6" s="2" t="inlineStr">
        <is>
          <t>Gravedad</t>
        </is>
      </c>
      <c r="B6" s="2" t="inlineStr">
        <is>
          <t>Bloqueante / Importante / Menor / Cosmético</t>
        </is>
      </c>
      <c r="C6" s="2" t="inlineStr">
        <is>
          <t>Solo si falla. Bloqueante es lo que impide seguir probando o no se puede enseñar a nadie.</t>
        </is>
      </c>
    </row>
    <row r="7">
      <c r="A7" s="2" t="inlineStr">
        <is>
          <t>Comentarios</t>
        </is>
      </c>
      <c r="B7" s="2" t="inlineStr">
        <is>
          <t>Texto libre</t>
        </is>
      </c>
      <c r="C7" s="2" t="inlineStr">
        <is>
          <t>Qué viste exactamente. Si puedes, con qué datos y en qué pantalla. Una captura vale por tres frases.</t>
        </is>
      </c>
    </row>
    <row r="9" ht="24" customHeight="1">
      <c r="A9" s="3" t="inlineStr">
        <is>
          <t>Para moverse</t>
        </is>
      </c>
      <c r="B9" s="2" t="inlineStr"/>
      <c r="C9" s="2" t="inlineStr"/>
    </row>
    <row r="10">
      <c r="A10" s="2" t="inlineStr">
        <is>
          <t>Filtros</t>
        </is>
      </c>
      <c r="B10" s="2" t="inlineStr">
        <is>
          <t>Fila 1</t>
        </is>
      </c>
      <c r="C10" s="2" t="inlineStr">
        <is>
          <t>Cada columna filtra. Para hacer un módulo entero, filtra por Módulo.</t>
        </is>
      </c>
    </row>
    <row r="11">
      <c r="A11" s="2" t="inlineStr">
        <is>
          <t>Columnas congeladas</t>
        </is>
      </c>
      <c r="B11" s="2" t="inlineStr">
        <is>
          <t>Nº a Entra como</t>
        </is>
      </c>
      <c r="C11" s="2" t="inlineStr">
        <is>
          <t>Se quedan fijas al desplazar a la derecha.</t>
        </is>
      </c>
    </row>
    <row r="12">
      <c r="A12" s="2" t="inlineStr">
        <is>
          <t>Resumen</t>
        </is>
      </c>
      <c r="B12" s="2" t="inlineStr">
        <is>
          <t>Pestaña «Resumen»</t>
        </is>
      </c>
      <c r="C12" s="2" t="inlineStr">
        <is>
          <t>Cuenta sola según vas rellenando. No hay que tocar nada.</t>
        </is>
      </c>
    </row>
    <row r="14" ht="24" customHeight="1">
      <c r="A14" s="3" t="inlineStr">
        <is>
          <t>Dónde probar</t>
        </is>
      </c>
      <c r="B14" s="2" t="inlineStr"/>
      <c r="C14" s="2" t="inlineStr"/>
    </row>
    <row r="15">
      <c r="A15" s="2" t="inlineStr">
        <is>
          <t>En la nube</t>
        </is>
      </c>
      <c r="B15" s="2" t="inlineStr">
        <is>
          <t>https://iwl-platform.vercel.app</t>
        </is>
      </c>
      <c r="C15" s="2" t="inlineStr">
        <is>
          <t>Lo que de verdad va a usar la gente. Ojo: lo que escribas aquí queda.</t>
        </is>
      </c>
    </row>
    <row r="16">
      <c r="A16" s="2" t="inlineStr">
        <is>
          <t>En local</t>
        </is>
      </c>
      <c r="B16" s="2" t="inlineStr">
        <is>
          <t>npm run db:reset &amp;&amp; npm run dev</t>
        </is>
      </c>
      <c r="C16" s="2" t="inlineStr">
        <is>
          <t>Para romper cosas sin miedo. Se reinicia entero en un minuto.</t>
        </is>
      </c>
    </row>
    <row r="17">
      <c r="A17" s="2" t="inlineStr">
        <is>
          <t>Correos en local</t>
        </is>
      </c>
      <c r="B17" s="2" t="inlineStr">
        <is>
          <t>http://127.0.0.1:54324</t>
        </is>
      </c>
      <c r="C17" s="2" t="inlineStr">
        <is>
          <t>Los enlaces de entrada no salen a internet: caen en esa bandeja.</t>
        </is>
      </c>
    </row>
    <row r="19" ht="24" customHeight="1">
      <c r="A19" s="3" t="inlineStr">
        <is>
          <t>Con qué cuenta entrar (en local)</t>
        </is>
      </c>
      <c r="B19" s="2" t="inlineStr"/>
      <c r="C19" s="2" t="inlineStr"/>
    </row>
    <row r="20">
      <c r="A20" s="2" t="inlineStr">
        <is>
          <t>Contraseña común</t>
        </is>
      </c>
      <c r="B20" s="2" t="inlineStr">
        <is>
          <t>iwl-local-2026</t>
        </is>
      </c>
      <c r="C20" s="2" t="inlineStr">
        <is>
          <t>Solo en local. En la nube cada cuenta tiene la suya, en .accesos-nube.md</t>
        </is>
      </c>
    </row>
    <row r="21">
      <c r="A21" s="2" t="inlineStr">
        <is>
          <t>admin@iwl.test</t>
        </is>
      </c>
      <c r="B21" s="2" t="inlineStr">
        <is>
          <t>admin_iwl</t>
        </is>
      </c>
      <c r="C21" s="2" t="inlineStr">
        <is>
          <t>Todo, incluida la configuración del programa</t>
        </is>
      </c>
    </row>
    <row r="22">
      <c r="A22" s="2" t="inlineStr">
        <is>
          <t>programa@iwl.test</t>
        </is>
      </c>
      <c r="B22" s="2" t="inlineStr">
        <is>
          <t>equipo_iwl</t>
        </is>
      </c>
      <c r="C22" s="2" t="inlineStr">
        <is>
          <t>Toda la cartera, pero no la configuración</t>
        </is>
      </c>
    </row>
    <row r="23">
      <c r="A23" s="2" t="inlineStr">
        <is>
          <t>revisor@niage.test</t>
        </is>
      </c>
      <c r="B23" s="2" t="inlineStr">
        <is>
          <t>revisor_niage</t>
        </is>
      </c>
      <c r="C23" s="2" t="inlineStr">
        <is>
          <t>Marea Clínica y Raíz Sensórica</t>
        </is>
      </c>
    </row>
    <row r="24">
      <c r="A24" s="2" t="inlineStr">
        <is>
          <t>revisor2@niage.test</t>
        </is>
      </c>
      <c r="B24" s="2" t="inlineStr">
        <is>
          <t>revisor_niage</t>
        </is>
      </c>
      <c r="C24" s="2" t="inlineStr">
        <is>
          <t>Vega Predictiva</t>
        </is>
      </c>
    </row>
    <row r="25">
      <c r="A25" s="2" t="inlineStr">
        <is>
          <t>mentor@iwl.test</t>
        </is>
      </c>
      <c r="B25" s="2" t="inlineStr">
        <is>
          <t>mentor</t>
        </is>
      </c>
      <c r="C25" s="2" t="inlineStr">
        <is>
          <t>Coordina Marea Clínica, apoya en Raíz Sensórica</t>
        </is>
      </c>
    </row>
    <row r="26">
      <c r="A26" s="2" t="inlineStr">
        <is>
          <t>mentor2@iwl.test</t>
        </is>
      </c>
      <c r="B26" s="2" t="inlineStr">
        <is>
          <t>mentor</t>
        </is>
      </c>
      <c r="C26" s="2" t="inlineStr">
        <is>
          <t>Coordina Raíz Sensórica, apoya en Marea Clínica</t>
        </is>
      </c>
    </row>
    <row r="27">
      <c r="A27" s="2" t="inlineStr">
        <is>
          <t>fundadora@marea.test</t>
        </is>
      </c>
      <c r="B27" s="2" t="inlineStr">
        <is>
          <t>fundadora</t>
        </is>
      </c>
      <c r="C27" s="2" t="inlineStr">
        <is>
          <t>Marea Clínica</t>
        </is>
      </c>
    </row>
    <row r="28">
      <c r="A28" s="2" t="inlineStr">
        <is>
          <t>fundadora@vega.test</t>
        </is>
      </c>
      <c r="B28" s="2" t="inlineStr">
        <is>
          <t>fundadora</t>
        </is>
      </c>
      <c r="C28" s="2" t="inlineStr">
        <is>
          <t>Vega Predictiva</t>
        </is>
      </c>
    </row>
    <row r="29">
      <c r="A29" s="2" t="inlineStr">
        <is>
          <t>fundadora@raiz.test</t>
        </is>
      </c>
      <c r="B29" s="2" t="inlineStr">
        <is>
          <t>fundadora</t>
        </is>
      </c>
      <c r="C29" s="2" t="inlineStr">
        <is>
          <t>Raíz Sensórica</t>
        </is>
      </c>
    </row>
    <row r="30">
      <c r="A30" s="2" t="inlineStr">
        <is>
          <t>cto@marea.test</t>
        </is>
      </c>
      <c r="B30" s="2" t="inlineStr">
        <is>
          <t>fundadora</t>
        </is>
      </c>
      <c r="C30" s="2" t="inlineStr">
        <is>
          <t>Marea Clínica, como segunda del equipo</t>
        </is>
      </c>
    </row>
    <row r="32" ht="24" customHeight="1">
      <c r="A32" s="3" t="inlineStr">
        <is>
          <t>Por dónde empezar</t>
        </is>
      </c>
      <c r="B32" s="2" t="inlineStr"/>
      <c r="C32" s="2" t="inlineStr"/>
    </row>
    <row r="33">
      <c r="A33" s="2" t="inlineStr">
        <is>
          <t>1</t>
        </is>
      </c>
      <c r="B33" s="2" t="inlineStr">
        <is>
          <t>Módulos 2 a 7</t>
        </is>
      </c>
      <c r="C33" s="2" t="inlineStr">
        <is>
          <t>El embudo de punta a punta: convocatoria, candidatura, NDA, acuerdo y firma. Es lo más nuevo y lo menos rodado.</t>
        </is>
      </c>
    </row>
    <row r="34">
      <c r="A34" s="2" t="inlineStr">
        <is>
          <t>2</t>
        </is>
      </c>
      <c r="B34" s="2" t="inlineStr">
        <is>
          <t>Módulo 21</t>
        </is>
      </c>
      <c r="C34" s="2" t="inlineStr">
        <is>
          <t>Permisos. Entrando como quien MENOS puede: ahí es donde se ven los agujeros.</t>
        </is>
      </c>
    </row>
    <row r="35">
      <c r="A35" s="2" t="inlineStr">
        <is>
          <t>3</t>
        </is>
      </c>
      <c r="B35" s="2" t="inlineStr">
        <is>
          <t>El resto</t>
        </is>
      </c>
      <c r="C35" s="2" t="inlineStr">
        <is>
          <t>Por orden, o por lo que más te interese enseñar.</t>
        </is>
      </c>
    </row>
    <row r="37" ht="24" customHeight="1">
      <c r="A37" s="3" t="inlineStr">
        <is>
          <t>Dos cosas que conviene saber</t>
        </is>
      </c>
      <c r="B37" s="2" t="inlineStr"/>
      <c r="C37" s="2" t="inlineStr"/>
    </row>
    <row r="38">
      <c r="A38" s="2" t="inlineStr">
        <is>
          <t>Lo sin medir no es un cero</t>
        </is>
      </c>
      <c r="B38" s="2" t="inlineStr"/>
      <c r="C38" s="2" t="inlineStr">
        <is>
          <t>Un proyecto sin evaluar tiene que parecer sin evaluar («—»), no malo. Si ves un 0, es un fallo.</t>
        </is>
      </c>
    </row>
    <row r="39">
      <c r="A39" s="2" t="inlineStr">
        <is>
          <t>Nadie valida su propio trabajo</t>
        </is>
      </c>
      <c r="B39" s="2" t="inlineStr"/>
      <c r="C39" s="2" t="inlineStr">
        <is>
          <t>Una fundadora no puntúa ni valida sus puntos. Si en algún sitio puede, es un fallo grave.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30" customWidth="1" min="3" max="3"/>
    <col width="22" customWidth="1" min="4" max="4"/>
    <col width="46" customWidth="1" min="5" max="5"/>
    <col width="62" customWidth="1" min="6" max="6"/>
    <col width="62" customWidth="1" min="7" max="7"/>
    <col width="14" customWidth="1" min="8" max="8"/>
    <col width="14" customWidth="1" min="9" max="9"/>
    <col width="50" customWidth="1" min="10" max="10"/>
  </cols>
  <sheetData>
    <row r="1" ht="26" customHeight="1">
      <c r="A1" s="4" t="inlineStr">
        <is>
          <t>Nº</t>
        </is>
      </c>
      <c r="B1" s="4" t="inlineStr">
        <is>
          <t>Módulo</t>
        </is>
      </c>
      <c r="C1" s="4" t="inlineStr">
        <is>
          <t>Pantalla</t>
        </is>
      </c>
      <c r="D1" s="4" t="inlineStr">
        <is>
          <t>Entra como</t>
        </is>
      </c>
      <c r="E1" s="4" t="inlineStr">
        <is>
          <t>Qué se prueba</t>
        </is>
      </c>
      <c r="F1" s="4" t="inlineStr">
        <is>
          <t>Pasos</t>
        </is>
      </c>
      <c r="G1" s="4" t="inlineStr">
        <is>
          <t>Qué debería pasar</t>
        </is>
      </c>
      <c r="H1" s="4" t="inlineStr">
        <is>
          <t>Resultado</t>
        </is>
      </c>
      <c r="I1" s="4" t="inlineStr">
        <is>
          <t>Gravedad</t>
        </is>
      </c>
      <c r="J1" s="4" t="inlineStr">
        <is>
          <t>Comentarios</t>
        </is>
      </c>
    </row>
    <row r="2" ht="42" customHeight="1">
      <c r="A2" s="5" t="inlineStr">
        <is>
          <t>1.01</t>
        </is>
      </c>
      <c r="B2" s="6" t="inlineStr">
        <is>
          <t>1. Acceso y cuentas</t>
        </is>
      </c>
      <c r="C2" s="7" t="inlineStr">
        <is>
          <t>/entrar</t>
        </is>
      </c>
      <c r="D2" s="7" t="inlineStr">
        <is>
          <t>admin@iwl.test</t>
        </is>
      </c>
      <c r="E2" s="8" t="inlineStr">
        <is>
          <t>Entrar con correo y contraseña</t>
        </is>
      </c>
      <c r="F2" s="8" t="inlineStr">
        <is>
          <t>Escribir correo y contraseña y pulsar Entrar.</t>
        </is>
      </c>
      <c r="G2" s="8" t="inlineStr">
        <is>
          <t>Entra y aterriza en la cartera.</t>
        </is>
      </c>
      <c r="H2" s="8" t="inlineStr">
        <is>
          <t>OK</t>
        </is>
      </c>
      <c r="I2" s="8" t="inlineStr"/>
      <c r="J2" s="8" t="inlineStr">
        <is>
          <t>RONDA 1 · Carlos y Cecilia salen sin compañía asignada, no se puede ver nada.
Juan tiene otra interfaz, diferente al resto</t>
        </is>
      </c>
    </row>
    <row r="3" ht="42" customHeight="1">
      <c r="A3" s="5" t="inlineStr">
        <is>
          <t>1.02</t>
        </is>
      </c>
      <c r="B3" s="6" t="inlineStr">
        <is>
          <t>1. Acceso y cuentas</t>
        </is>
      </c>
      <c r="C3" s="7" t="inlineStr">
        <is>
          <t>/entrar</t>
        </is>
      </c>
      <c r="D3" s="7" t="inlineStr">
        <is>
          <t>cualquiera</t>
        </is>
      </c>
      <c r="E3" s="8" t="inlineStr">
        <is>
          <t>Contraseña equivocada</t>
        </is>
      </c>
      <c r="F3" s="8" t="inlineStr">
        <is>
          <t>Escribir una contraseña que no es y pulsar Entrar.</t>
        </is>
      </c>
      <c r="G3" s="8" t="inlineStr">
        <is>
          <t>Dice qué ha pasado y qué hacer, sin signos de exclamación. No se queda colgado.</t>
        </is>
      </c>
      <c r="H3" s="8" t="inlineStr"/>
      <c r="I3" s="8" t="inlineStr"/>
      <c r="J3" s="8" t="inlineStr"/>
    </row>
    <row r="4" ht="42" customHeight="1">
      <c r="A4" s="5" t="inlineStr">
        <is>
          <t>1.03</t>
        </is>
      </c>
      <c r="B4" s="6" t="inlineStr">
        <is>
          <t>1. Acceso y cuentas</t>
        </is>
      </c>
      <c r="C4" s="7" t="inlineStr">
        <is>
          <t>/entrar</t>
        </is>
      </c>
      <c r="D4" s="7" t="inlineStr">
        <is>
          <t>—</t>
        </is>
      </c>
      <c r="E4" s="8" t="inlineStr">
        <is>
          <t>No hay autoservicio</t>
        </is>
      </c>
      <c r="F4" s="8" t="inlineStr">
        <is>
          <t>Buscar en la pantalla de entrada alguna forma de crear una cuenta.</t>
        </is>
      </c>
      <c r="G4" s="8" t="inlineStr">
        <is>
          <t>No la hay. Las cuentas las crea la dirección de IWL.</t>
        </is>
      </c>
      <c r="H4" s="8" t="inlineStr"/>
      <c r="I4" s="8" t="inlineStr"/>
      <c r="J4" s="8" t="inlineStr"/>
    </row>
    <row r="5" ht="42" customHeight="1">
      <c r="A5" s="5" t="inlineStr">
        <is>
          <t>1.04</t>
        </is>
      </c>
      <c r="B5" s="6" t="inlineStr">
        <is>
          <t>1. Acceso y cuentas</t>
        </is>
      </c>
      <c r="C5" s="7" t="inlineStr">
        <is>
          <t>/</t>
        </is>
      </c>
      <c r="D5" s="7" t="inlineStr">
        <is>
          <t>fundadora@marea.test</t>
        </is>
      </c>
      <c r="E5" s="8" t="inlineStr">
        <is>
          <t>La raíz lleva a donde toca según quién eres</t>
        </is>
      </c>
      <c r="F5" s="8" t="inlineStr">
        <is>
          <t>Entrar y abrir la dirección raíz.</t>
        </is>
      </c>
      <c r="G5" s="8" t="inlineStr">
        <is>
          <t>Una fundadora cae en su proyecto; IWL, en la cartera.</t>
        </is>
      </c>
      <c r="H5" s="8" t="inlineStr"/>
      <c r="I5" s="8" t="inlineStr"/>
      <c r="J5" s="8" t="inlineStr"/>
    </row>
    <row r="6" ht="42" customHeight="1">
      <c r="A6" s="5" t="inlineStr">
        <is>
          <t>1.05</t>
        </is>
      </c>
      <c r="B6" s="6" t="inlineStr">
        <is>
          <t>1. Acceso y cuentas</t>
        </is>
      </c>
      <c r="C6" s="7" t="inlineStr">
        <is>
          <t>/cartera</t>
        </is>
      </c>
      <c r="D6" s="7" t="inlineStr">
        <is>
          <t>fundadora@marea.test</t>
        </is>
      </c>
      <c r="E6" s="8" t="inlineStr">
        <is>
          <t>Una fundadora no entra en la cartera</t>
        </is>
      </c>
      <c r="F6" s="8" t="inlineStr">
        <is>
          <t>Estando dentro como fundadora, escribir /cartera en la barra de direcciones.</t>
        </is>
      </c>
      <c r="G6" s="8" t="inlineStr">
        <is>
          <t>La devuelve a su proyecto. No ve la cartera ni de refilón.</t>
        </is>
      </c>
      <c r="H6" s="8" t="inlineStr"/>
      <c r="I6" s="8" t="inlineStr"/>
      <c r="J6" s="8" t="inlineStr"/>
    </row>
    <row r="7" ht="42" customHeight="1">
      <c r="A7" s="5" t="inlineStr">
        <is>
          <t>1.06</t>
        </is>
      </c>
      <c r="B7" s="6" t="inlineStr">
        <is>
          <t>1. Acceso y cuentas</t>
        </is>
      </c>
      <c r="C7" s="7" t="inlineStr">
        <is>
          <t>/admin</t>
        </is>
      </c>
      <c r="D7" s="7" t="inlineStr">
        <is>
          <t>programa@iwl.test</t>
        </is>
      </c>
      <c r="E7" s="8" t="inlineStr">
        <is>
          <t>El equipo de IWL no configura el programa</t>
        </is>
      </c>
      <c r="F7" s="8" t="inlineStr">
        <is>
          <t>Entrar como equipo_iwl y escribir /admin en la barra.</t>
        </is>
      </c>
      <c r="G7" s="8" t="inlineStr">
        <is>
          <t>No entra. La configuración es solo de la dirección.</t>
        </is>
      </c>
      <c r="H7" s="8" t="inlineStr"/>
      <c r="I7" s="8" t="inlineStr"/>
      <c r="J7" s="8" t="inlineStr"/>
    </row>
    <row r="8" ht="42" customHeight="1">
      <c r="A8" s="5" t="inlineStr">
        <is>
          <t>1.07</t>
        </is>
      </c>
      <c r="B8" s="6" t="inlineStr">
        <is>
          <t>1. Acceso y cuentas</t>
        </is>
      </c>
      <c r="C8" s="7" t="inlineStr">
        <is>
          <t>/perfil</t>
        </is>
      </c>
      <c r="D8" s="7" t="inlineStr">
        <is>
          <t>fundadora@marea.test</t>
        </is>
      </c>
      <c r="E8" s="8" t="inlineStr">
        <is>
          <t>Cambiar mi propia contraseña</t>
        </is>
      </c>
      <c r="F8" s="8" t="inlineStr">
        <is>
          <t>Abrir Mi cuenta, poner contraseña nueva y guardar. Salir y volver a entrar con ella.</t>
        </is>
      </c>
      <c r="G8" s="8" t="inlineStr">
        <is>
          <t>Se guarda y la nueva funciona.</t>
        </is>
      </c>
      <c r="H8" s="8" t="inlineStr"/>
      <c r="I8" s="8" t="inlineStr"/>
      <c r="J8" s="8" t="inlineStr"/>
    </row>
    <row r="9" ht="42" customHeight="1">
      <c r="A9" s="5" t="inlineStr">
        <is>
          <t>1.08</t>
        </is>
      </c>
      <c r="B9" s="6" t="inlineStr">
        <is>
          <t>1. Acceso y cuentas</t>
        </is>
      </c>
      <c r="C9" s="7" t="inlineStr">
        <is>
          <t>/sin-compania</t>
        </is>
      </c>
      <c r="D9" s="7" t="inlineStr">
        <is>
          <t>una cuenta recién creada</t>
        </is>
      </c>
      <c r="E9" s="8" t="inlineStr">
        <is>
          <t>Quien no tiene compañía lo entiende</t>
        </is>
      </c>
      <c r="F9" s="8" t="inlineStr">
        <is>
          <t>Entrar con una cuenta recién creada y sin asignar.</t>
        </is>
      </c>
      <c r="G9" s="8" t="inlineStr">
        <is>
          <t>Dice qué pasa y a quién pedírselo, no una pantalla en blanco.</t>
        </is>
      </c>
      <c r="H9" s="8" t="inlineStr"/>
      <c r="I9" s="8" t="inlineStr"/>
      <c r="J9" s="8" t="inlineStr"/>
    </row>
    <row r="10" ht="42" customHeight="1">
      <c r="A10" s="5" t="inlineStr">
        <is>
          <t>1.09</t>
        </is>
      </c>
      <c r="B10" s="6" t="inlineStr">
        <is>
          <t>1. Acceso y cuentas</t>
        </is>
      </c>
      <c r="C10" s="7" t="inlineStr">
        <is>
          <t>Cualquiera</t>
        </is>
      </c>
      <c r="D10" s="7" t="inlineStr">
        <is>
          <t>—</t>
        </is>
      </c>
      <c r="E10" s="8" t="inlineStr">
        <is>
          <t>Salir</t>
        </is>
      </c>
      <c r="F10" s="8" t="inlineStr">
        <is>
          <t>Pulsar Salir desde cualquier pantalla.</t>
        </is>
      </c>
      <c r="G10" s="8" t="inlineStr">
        <is>
          <t>Vuelve a /entrar y la sesión queda cerrada de verdad (atrás no reabre nada).</t>
        </is>
      </c>
      <c r="H10" s="8" t="inlineStr"/>
      <c r="I10" s="8" t="inlineStr"/>
      <c r="J10" s="8" t="inlineStr"/>
    </row>
    <row r="11" ht="42" customHeight="1">
      <c r="A11" s="5" t="inlineStr">
        <is>
          <t>2.01</t>
        </is>
      </c>
      <c r="B11" s="6" t="inlineStr">
        <is>
          <t>2. Convocatoria</t>
        </is>
      </c>
      <c r="C11" s="7" t="inlineStr">
        <is>
          <t>/embudo</t>
        </is>
      </c>
      <c r="D11" s="7" t="inlineStr">
        <is>
          <t>admin@iwl.test</t>
        </is>
      </c>
      <c r="E11" s="8" t="inlineStr">
        <is>
          <t>Abrir la convocatoria de una cohorte</t>
        </is>
      </c>
      <c r="F11" s="8" t="inlineStr">
        <is>
          <t>Embudo → Convocatoria → elegir cohorte, marcar abierta, guardar.</t>
        </is>
      </c>
      <c r="G11" s="8" t="inlineStr">
        <is>
          <t>Confirma. Arriba aparece el aviso de que esa convocatoria está abierta.</t>
        </is>
      </c>
      <c r="H11" s="8" t="inlineStr">
        <is>
          <t>OK</t>
        </is>
      </c>
      <c r="I11" s="8" t="inlineStr"/>
      <c r="J11" s="8" t="inlineStr">
        <is>
          <t>RONDA 1 · Me parece un poco raro como está explicado o como marcar abierta o cerrada</t>
        </is>
      </c>
    </row>
    <row r="12" ht="42" customHeight="1">
      <c r="A12" s="5" t="inlineStr">
        <is>
          <t>2.02</t>
        </is>
      </c>
      <c r="B12" s="6" t="inlineStr">
        <is>
          <t>2. Convocatoria</t>
        </is>
      </c>
      <c r="C12" s="7" t="inlineStr">
        <is>
          <t>/embudo</t>
        </is>
      </c>
      <c r="D12" s="7" t="inlineStr">
        <is>
          <t>admin@iwl.test</t>
        </is>
      </c>
      <c r="E12" s="8" t="inlineStr">
        <is>
          <t>La dirección que se reparte está a la vista</t>
        </is>
      </c>
      <c r="F12" s="8" t="inlineStr">
        <is>
          <t>Con la convocatoria abierta, mirar el bloque «Reparte esta dirección» y pulsar Copiar.</t>
        </is>
      </c>
      <c r="G12" s="8" t="inlineStr">
        <is>
          <t>Se ve la dirección entera y se copia al portapapeles.</t>
        </is>
      </c>
      <c r="H12" s="8" t="inlineStr"/>
      <c r="I12" s="8" t="inlineStr"/>
      <c r="J12" s="8" t="inlineStr"/>
    </row>
    <row r="13" ht="42" customHeight="1">
      <c r="A13" s="5" t="inlineStr">
        <is>
          <t>2.03</t>
        </is>
      </c>
      <c r="B13" s="6" t="inlineStr">
        <is>
          <t>2. Convocatoria</t>
        </is>
      </c>
      <c r="C13" s="7" t="inlineStr">
        <is>
          <t>/presentarse</t>
        </is>
      </c>
      <c r="D13" s="7" t="inlineStr">
        <is>
          <t>sin cuenta</t>
        </is>
      </c>
      <c r="E13" s="8" t="inlineStr">
        <is>
          <t>Con la convocatoria abierta, el formulario sale</t>
        </is>
      </c>
      <c r="F13" s="8" t="inlineStr">
        <is>
          <t>Abrir la dirección copiada en una ventana privada.</t>
        </is>
      </c>
      <c r="G13" s="8" t="inlineStr">
        <is>
          <t>Sale el formulario de candidatura, sin pedir cuenta.</t>
        </is>
      </c>
      <c r="H13" s="8" t="inlineStr"/>
      <c r="I13" s="8" t="inlineStr"/>
      <c r="J13" s="8" t="inlineStr"/>
    </row>
    <row r="14" ht="42" customHeight="1">
      <c r="A14" s="5" t="inlineStr">
        <is>
          <t>2.04</t>
        </is>
      </c>
      <c r="B14" s="6" t="inlineStr">
        <is>
          <t>2. Convocatoria</t>
        </is>
      </c>
      <c r="C14" s="7" t="inlineStr">
        <is>
          <t>/embudo</t>
        </is>
      </c>
      <c r="D14" s="7" t="inlineStr">
        <is>
          <t>admin@iwl.test</t>
        </is>
      </c>
      <c r="E14" s="8" t="inlineStr">
        <is>
          <t>Cerrar la convocatoria</t>
        </is>
      </c>
      <c r="F14" s="8" t="inlineStr">
        <is>
          <t>Desmarcar abierta y guardar. Volver a abrir /presentarse en ventana privada.</t>
        </is>
      </c>
      <c r="G14" s="8" t="inlineStr">
        <is>
          <t>Dice que no hay convocatoria en curso Y da una dirección de correo para avisar. Antes decía «escríbenos» sin decir dónde.</t>
        </is>
      </c>
      <c r="H14" s="8" t="inlineStr">
        <is>
          <t>OK</t>
        </is>
      </c>
      <c r="I14" s="8" t="inlineStr"/>
      <c r="J14" s="8" t="inlineStr">
        <is>
          <t>RONDA 1 · Hay un mensaje que dice: "si quieres que te avísemos, escríbenos" Ahí quizás se debería de dar el tipo de contacto que se requiera para que nos escriban, un correo, el instagram, etc</t>
        </is>
      </c>
    </row>
    <row r="15" ht="42" customHeight="1">
      <c r="A15" s="5" t="inlineStr">
        <is>
          <t>2.05</t>
        </is>
      </c>
      <c r="B15" s="6" t="inlineStr">
        <is>
          <t>2. Convocatoria</t>
        </is>
      </c>
      <c r="C15" s="7" t="inlineStr">
        <is>
          <t>/embudo</t>
        </is>
      </c>
      <c r="D15" s="7" t="inlineStr">
        <is>
          <t>admin@iwl.test</t>
        </is>
      </c>
      <c r="E15" s="8" t="inlineStr">
        <is>
          <t>Fecha de cierre</t>
        </is>
      </c>
      <c r="F15" s="8" t="inlineStr">
        <is>
          <t>Abrir la convocatoria con una fecha de cierre y mirar el texto de arriba.</t>
        </is>
      </c>
      <c r="G15" s="8" t="inlineStr">
        <is>
          <t>Dice hasta cuándo está abierta.</t>
        </is>
      </c>
      <c r="H15" s="8" t="inlineStr"/>
      <c r="I15" s="8" t="inlineStr"/>
      <c r="J15" s="8" t="inlineStr"/>
    </row>
    <row r="16" ht="42" customHeight="1">
      <c r="A16" s="5" t="inlineStr">
        <is>
          <t>3.01</t>
        </is>
      </c>
      <c r="B16" s="6" t="inlineStr">
        <is>
          <t>3. Presentar candidatura</t>
        </is>
      </c>
      <c r="C16" s="7" t="inlineStr">
        <is>
          <t>/presentarse</t>
        </is>
      </c>
      <c r="D16" s="7" t="inlineStr">
        <is>
          <t>sin cuenta</t>
        </is>
      </c>
      <c r="E16" s="8" t="inlineStr">
        <is>
          <t>Presentarse con todo relleno</t>
        </is>
      </c>
      <c r="F16" s="8" t="inlineStr">
        <is>
          <t>Rellenar los campos, dejar dos enlaces de Drive y enviar.</t>
        </is>
      </c>
      <c r="G16" s="8" t="inlineStr">
        <is>
          <t>«Recibida. Gracias.» y debajo el enlace privado con botón de copiar.</t>
        </is>
      </c>
      <c r="H16" s="8" t="inlineStr">
        <is>
          <t>OK</t>
        </is>
      </c>
      <c r="I16" s="8" t="inlineStr"/>
      <c r="J16" s="8" t="inlineStr">
        <is>
          <t>RONDA 1 · Igual que antes, mensaje de "escríbenos" pero no dice donde</t>
        </is>
      </c>
    </row>
    <row r="17" ht="42" customHeight="1">
      <c r="A17" s="5" t="inlineStr">
        <is>
          <t>3.02</t>
        </is>
      </c>
      <c r="B17" s="6" t="inlineStr">
        <is>
          <t>3. Presentar candidatura</t>
        </is>
      </c>
      <c r="C17" s="7" t="inlineStr">
        <is>
          <t>/presentarse</t>
        </is>
      </c>
      <c r="D17" s="7" t="inlineStr">
        <is>
          <t>sin cuenta</t>
        </is>
      </c>
      <c r="E17" s="8" t="inlineStr">
        <is>
          <t>Solo lo obligatorio</t>
        </is>
      </c>
      <c r="F17" s="8" t="inlineStr">
        <is>
          <t>Rellenar lo que lleva asterisco: startup, en qué punto estáis, tu nombre y tu correo. Enviar.</t>
        </is>
      </c>
      <c r="G17" s="8" t="inlineStr">
        <is>
          <t>Se acepta. El resto es opcional de verdad.</t>
        </is>
      </c>
      <c r="H17" s="8" t="inlineStr">
        <is>
          <t>OK</t>
        </is>
      </c>
      <c r="I17" s="8" t="inlineStr"/>
      <c r="J17" s="8" t="inlineStr">
        <is>
          <t>RONDA 1 · Añadir el típico asterisco luego de el espacio a rellenar para que se identifique como obligatorio</t>
        </is>
      </c>
    </row>
    <row r="18" ht="42" customHeight="1">
      <c r="A18" s="5" t="inlineStr">
        <is>
          <t>3.03</t>
        </is>
      </c>
      <c r="B18" s="6" t="inlineStr">
        <is>
          <t>3. Presentar candidatura</t>
        </is>
      </c>
      <c r="C18" s="7" t="inlineStr">
        <is>
          <t>/presentarse</t>
        </is>
      </c>
      <c r="D18" s="7" t="inlineStr">
        <is>
          <t>sin cuenta</t>
        </is>
      </c>
      <c r="E18" s="8" t="inlineStr">
        <is>
          <t>La etapa no se puede esquivar</t>
        </is>
      </c>
      <c r="F18" s="8" t="inlineStr">
        <is>
          <t>Mirar el desplegable «¿En qué punto estáis?» e intentar enviar sin tocarlo.</t>
        </is>
      </c>
      <c r="G18" s="8" t="inlineStr">
        <is>
          <t>Ya no existe «Prefiero no decirlo». Pone «Elige una» y no deja enviar sin elegir.</t>
        </is>
      </c>
      <c r="H18" s="8" t="inlineStr"/>
      <c r="I18" s="8" t="inlineStr"/>
      <c r="J18" s="8" t="inlineStr"/>
    </row>
    <row r="19" ht="42" customHeight="1">
      <c r="A19" s="5" t="inlineStr">
        <is>
          <t>3.04</t>
        </is>
      </c>
      <c r="B19" s="6" t="inlineStr">
        <is>
          <t>3. Presentar candidatura</t>
        </is>
      </c>
      <c r="C19" s="7" t="inlineStr">
        <is>
          <t>/presentarse</t>
        </is>
      </c>
      <c r="D19" s="7" t="inlineStr">
        <is>
          <t>sin cuenta</t>
        </is>
      </c>
      <c r="E19" s="8" t="inlineStr">
        <is>
          <t>Un porcentaje escrito a mano (el caso dronesec)</t>
        </is>
      </c>
      <c r="F19" s="8" t="inlineStr">
        <is>
          <t>En «Liderazgo femenino (%)» escribir «50 %». También probar «33,3».</t>
        </is>
      </c>
      <c r="G19" s="8" t="inlineStr">
        <is>
          <t>Se acepta. Llega como número, no se rechaza por el signo ni por la coma.</t>
        </is>
      </c>
      <c r="H19" s="8" t="inlineStr">
        <is>
          <t>Falla</t>
        </is>
      </c>
      <c r="I19" s="8" t="inlineStr">
        <is>
          <t>Menor</t>
        </is>
      </c>
      <c r="J19" s="8" t="inlineStr">
        <is>
          <t>RONDA 1 · Si que rechaza el signo y la coma, no lo dice pero es por eso</t>
        </is>
      </c>
    </row>
    <row r="20" ht="42" customHeight="1">
      <c r="A20" s="5" t="inlineStr">
        <is>
          <t>3.05</t>
        </is>
      </c>
      <c r="B20" s="6" t="inlineStr">
        <is>
          <t>3. Presentar candidatura</t>
        </is>
      </c>
      <c r="C20" s="7" t="inlineStr">
        <is>
          <t>/presentarse</t>
        </is>
      </c>
      <c r="D20" s="7" t="inlineStr">
        <is>
          <t>sin cuenta</t>
        </is>
      </c>
      <c r="E20" s="8" t="inlineStr">
        <is>
          <t>Cuando algo falla, se dice cuál y no se borra nada</t>
        </is>
      </c>
      <c r="F20" s="8" t="inlineStr">
        <is>
          <t>Rellenarlo entero y poner «la mitad» en el porcentaje. Enviar.</t>
        </is>
      </c>
      <c r="G20" s="8" t="inlineStr">
        <is>
          <t>Dice «Revisa este campo: liderazgo femenino», lo marca en rojo, y TODO lo demás sigue escrito.</t>
        </is>
      </c>
      <c r="H20" s="8" t="inlineStr"/>
      <c r="I20" s="8" t="inlineStr"/>
      <c r="J20" s="8" t="inlineStr"/>
    </row>
    <row r="21" ht="42" customHeight="1">
      <c r="A21" s="5" t="inlineStr">
        <is>
          <t>3.06</t>
        </is>
      </c>
      <c r="B21" s="6" t="inlineStr">
        <is>
          <t>3. Presentar candidatura</t>
        </is>
      </c>
      <c r="C21" s="7" t="inlineStr">
        <is>
          <t>/presentarse</t>
        </is>
      </c>
      <c r="D21" s="7" t="inlineStr">
        <is>
          <t>sin cuenta</t>
        </is>
      </c>
      <c r="E21" s="8" t="inlineStr">
        <is>
          <t>Correo mal escrito</t>
        </is>
      </c>
      <c r="F21" s="8" t="inlineStr">
        <is>
          <t>Poner un correo sin arroba y enviar.</t>
        </is>
      </c>
      <c r="G21" s="8" t="inlineStr">
        <is>
          <t>Lo señala sin perder el resto de lo escrito.</t>
        </is>
      </c>
      <c r="H21" s="8" t="inlineStr"/>
      <c r="I21" s="8" t="inlineStr"/>
      <c r="J21" s="8" t="inlineStr"/>
    </row>
    <row r="22" ht="42" customHeight="1">
      <c r="A22" s="5" t="inlineStr">
        <is>
          <t>3.07</t>
        </is>
      </c>
      <c r="B22" s="6" t="inlineStr">
        <is>
          <t>3. Presentar candidatura</t>
        </is>
      </c>
      <c r="C22" s="7" t="inlineStr">
        <is>
          <t>/candidatura/&lt;testigo&gt;</t>
        </is>
      </c>
      <c r="D22" s="7" t="inlineStr">
        <is>
          <t>sin cuenta</t>
        </is>
      </c>
      <c r="E22" s="8" t="inlineStr">
        <is>
          <t>El enlace privado abre su candidatura</t>
        </is>
      </c>
      <c r="F22" s="8" t="inlineStr">
        <is>
          <t>Pegar el enlace que dio el formulario en otra ventana.</t>
        </is>
      </c>
      <c r="G22" s="8" t="inlineStr">
        <is>
          <t>Ve su nombre, el estado «Recibida» y lo que mandó.</t>
        </is>
      </c>
      <c r="H22" s="8" t="inlineStr"/>
      <c r="I22" s="8" t="inlineStr"/>
      <c r="J22" s="8" t="inlineStr"/>
    </row>
    <row r="23" ht="42" customHeight="1">
      <c r="A23" s="5" t="inlineStr">
        <is>
          <t>3.08</t>
        </is>
      </c>
      <c r="B23" s="6" t="inlineStr">
        <is>
          <t>3. Presentar candidatura</t>
        </is>
      </c>
      <c r="C23" s="7" t="inlineStr">
        <is>
          <t>/candidatura/&lt;testigo&gt;</t>
        </is>
      </c>
      <c r="D23" s="7" t="inlineStr">
        <is>
          <t>sin cuenta</t>
        </is>
      </c>
      <c r="E23" s="8" t="inlineStr">
        <is>
          <t>Añadir material que se olvidó</t>
        </is>
      </c>
      <c r="F23" s="8" t="inlineStr">
        <is>
          <t>En su enlace, Añadir un documento: título y URL. Añadir.</t>
        </is>
      </c>
      <c r="G23" s="8" t="inlineStr">
        <is>
          <t>«Añadido. Gracias.» y el documento aparece en la lista.</t>
        </is>
      </c>
      <c r="H23" s="8" t="inlineStr"/>
      <c r="I23" s="8" t="inlineStr"/>
      <c r="J23" s="8" t="inlineStr"/>
    </row>
    <row r="24" ht="42" customHeight="1">
      <c r="A24" s="5" t="inlineStr">
        <is>
          <t>3.09</t>
        </is>
      </c>
      <c r="B24" s="6" t="inlineStr">
        <is>
          <t>3. Presentar candidatura</t>
        </is>
      </c>
      <c r="C24" s="7" t="inlineStr">
        <is>
          <t>/candidatura/xxxx</t>
        </is>
      </c>
      <c r="D24" s="7" t="inlineStr">
        <is>
          <t>sin cuenta</t>
        </is>
      </c>
      <c r="E24" s="8" t="inlineStr">
        <is>
          <t>Un enlace inventado no dice si existe</t>
        </is>
      </c>
      <c r="F24" s="8" t="inlineStr">
        <is>
          <t>Escribir un testigo cualquiera inventado.</t>
        </is>
      </c>
      <c r="G24" s="8" t="inlineStr">
        <is>
          <t>404 a secas. No distingue entre «no existe» y «no es tuyo».</t>
        </is>
      </c>
      <c r="H24" s="8" t="inlineStr"/>
      <c r="I24" s="8" t="inlineStr"/>
      <c r="J24" s="8" t="inlineStr">
        <is>
          <t>RONDA 1 · No entiendo este punto</t>
        </is>
      </c>
    </row>
    <row r="25" ht="42" customHeight="1">
      <c r="A25" s="5" t="inlineStr">
        <is>
          <t>4.01</t>
        </is>
      </c>
      <c r="B25" s="6" t="inlineStr">
        <is>
          <t>4. Alta a mano</t>
        </is>
      </c>
      <c r="C25" s="7" t="inlineStr">
        <is>
          <t>/embudo</t>
        </is>
      </c>
      <c r="D25" s="7" t="inlineStr">
        <is>
          <t>admin@iwl.test</t>
        </is>
      </c>
      <c r="E25" s="8" t="inlineStr">
        <is>
          <t>Dar de alta una candidatura conocida en un evento</t>
        </is>
      </c>
      <c r="F25" s="8" t="inlineStr">
        <is>
          <t>Embudo → Dar de alta una candidatura a mano: cohorte, nombre, contacto, correo.</t>
        </is>
      </c>
      <c r="G25" s="8" t="inlineStr">
        <is>
          <t>Confirma que entra en el embudo y aparece en la lista de abiertas.</t>
        </is>
      </c>
      <c r="H25" s="8" t="inlineStr"/>
      <c r="I25" s="8" t="inlineStr"/>
      <c r="J25" s="8" t="inlineStr"/>
    </row>
    <row r="26" ht="42" customHeight="1">
      <c r="A26" s="5" t="inlineStr">
        <is>
          <t>4.02</t>
        </is>
      </c>
      <c r="B26" s="6" t="inlineStr">
        <is>
          <t>4. Alta a mano</t>
        </is>
      </c>
      <c r="C26" s="7" t="inlineStr">
        <is>
          <t>/embudo/&lt;id&gt;</t>
        </is>
      </c>
      <c r="D26" s="7" t="inlineStr">
        <is>
          <t>admin@iwl.test</t>
        </is>
      </c>
      <c r="E26" s="8" t="inlineStr">
        <is>
          <t>El enlace de la invitada se ve para mandarlo</t>
        </is>
      </c>
      <c r="F26" s="8" t="inlineStr">
        <is>
          <t>Abrir su ficha en el embudo y buscar el enlace privado.</t>
        </is>
      </c>
      <c r="G26" s="8" t="inlineStr">
        <is>
          <t>Está a la vista, se puede copiar y mandar a mano.</t>
        </is>
      </c>
      <c r="H26" s="8" t="inlineStr"/>
      <c r="I26" s="8" t="inlineStr"/>
      <c r="J26" s="8" t="inlineStr"/>
    </row>
    <row r="27" ht="42" customHeight="1">
      <c r="A27" s="5" t="inlineStr">
        <is>
          <t>4.03</t>
        </is>
      </c>
      <c r="B27" s="6" t="inlineStr">
        <is>
          <t>4. Alta a mano</t>
        </is>
      </c>
      <c r="C27" s="7" t="inlineStr">
        <is>
          <t>/candidatura/&lt;testigo&gt;</t>
        </is>
      </c>
      <c r="D27" s="7" t="inlineStr">
        <is>
          <t>sin cuenta</t>
        </is>
      </c>
      <c r="E27" s="8" t="inlineStr">
        <is>
          <t>A la invitada se le pide que se presente</t>
        </is>
      </c>
      <c r="F27" s="8" t="inlineStr">
        <is>
          <t>Abrir el enlace de una candidatura dada de alta por IWL.</t>
        </is>
      </c>
      <c r="G27" s="8" t="inlineStr">
        <is>
          <t>Dice «Cuéntanos quiénes sois», NO «Recibida, gracias». Y tiene formulario para contarlo.</t>
        </is>
      </c>
      <c r="H27" s="8" t="inlineStr"/>
      <c r="I27" s="8" t="inlineStr"/>
      <c r="J27" s="8" t="inlineStr"/>
    </row>
    <row r="28" ht="42" customHeight="1">
      <c r="A28" s="5" t="inlineStr">
        <is>
          <t>4.04</t>
        </is>
      </c>
      <c r="B28" s="6" t="inlineStr">
        <is>
          <t>4. Alta a mano</t>
        </is>
      </c>
      <c r="C28" s="7" t="inlineStr">
        <is>
          <t>/candidatura/&lt;testigo&gt;</t>
        </is>
      </c>
      <c r="D28" s="7" t="inlineStr">
        <is>
          <t>sin cuenta</t>
        </is>
      </c>
      <c r="E28" s="8" t="inlineStr">
        <is>
          <t>La invitada completa su propia ficha</t>
        </is>
      </c>
      <c r="F28" s="8" t="inlineStr">
        <is>
          <t>Rellenar descripción, punto en que están, web, equipo. Guardar.</t>
        </is>
      </c>
      <c r="G28" s="8" t="inlineStr">
        <is>
          <t>«Guardado. Gracias.» y lo escrito queda visible.</t>
        </is>
      </c>
      <c r="H28" s="8" t="inlineStr"/>
      <c r="I28" s="8" t="inlineStr"/>
      <c r="J28" s="8" t="inlineStr"/>
    </row>
    <row r="29" ht="42" customHeight="1">
      <c r="A29" s="5" t="inlineStr">
        <is>
          <t>4.05</t>
        </is>
      </c>
      <c r="B29" s="6" t="inlineStr">
        <is>
          <t>4. Alta a mano</t>
        </is>
      </c>
      <c r="C29" s="7" t="inlineStr">
        <is>
          <t>/candidatura/&lt;testigo&gt;</t>
        </is>
      </c>
      <c r="D29" s="7" t="inlineStr">
        <is>
          <t>sin cuenta</t>
        </is>
      </c>
      <c r="E29" s="8" t="inlineStr">
        <is>
          <t>Un formulario a medias no borra lo que ya había</t>
        </is>
      </c>
      <c r="F29" s="8" t="inlineStr">
        <is>
          <t>IWL apunta el sector al dar de alta; ella deja ese campo vacío y guarda.</t>
        </is>
      </c>
      <c r="G29" s="8" t="inlineStr">
        <is>
          <t>El sector se queda como estaba. No se vacía.</t>
        </is>
      </c>
      <c r="H29" s="8" t="inlineStr"/>
      <c r="I29" s="8" t="inlineStr"/>
      <c r="J29" s="8" t="inlineStr"/>
    </row>
    <row r="30" ht="42" customHeight="1">
      <c r="A30" s="5" t="inlineStr">
        <is>
          <t>5.01</t>
        </is>
      </c>
      <c r="B30" s="6" t="inlineStr">
        <is>
          <t>5. Recorrido del embudo</t>
        </is>
      </c>
      <c r="C30" s="7" t="inlineStr">
        <is>
          <t>/embudo</t>
        </is>
      </c>
      <c r="D30" s="7" t="inlineStr">
        <is>
          <t>admin@iwl.test</t>
        </is>
      </c>
      <c r="E30" s="8" t="inlineStr">
        <is>
          <t>La foto del embudo cuadra</t>
        </is>
      </c>
      <c r="F30" s="8" t="inlineStr">
        <is>
          <t>Mirar las cuatro cifras de arriba y el recorrido paso a paso.</t>
        </is>
      </c>
      <c r="G30" s="8" t="inlineStr">
        <is>
          <t>En proceso, firmadas, descartadas y conversión cuadran con las listas de abajo.</t>
        </is>
      </c>
      <c r="H30" s="8" t="inlineStr"/>
      <c r="I30" s="8" t="inlineStr"/>
      <c r="J30" s="8" t="inlineStr"/>
    </row>
    <row r="31" ht="42" customHeight="1">
      <c r="A31" s="5" t="inlineStr">
        <is>
          <t>5.02</t>
        </is>
      </c>
      <c r="B31" s="6" t="inlineStr">
        <is>
          <t>5. Recorrido del embudo</t>
        </is>
      </c>
      <c r="C31" s="7" t="inlineStr">
        <is>
          <t>/embudo</t>
        </is>
      </c>
      <c r="D31" s="7" t="inlineStr">
        <is>
          <t>admin@iwl.test</t>
        </is>
      </c>
      <c r="E31" s="8" t="inlineStr">
        <is>
          <t>La conversión no miente con pocos datos</t>
        </is>
      </c>
      <c r="F31" s="8" t="inlineStr">
        <is>
          <t>Mirar la conversión con menos de cinco candidaturas cerradas.</t>
        </is>
      </c>
      <c r="G31" s="8" t="inlineStr">
        <is>
          <t>Pone «—» y explica que hacen falta cinco. No inventa un porcentaje.</t>
        </is>
      </c>
      <c r="H31" s="8" t="inlineStr"/>
      <c r="I31" s="8" t="inlineStr"/>
      <c r="J31" s="8" t="inlineStr"/>
    </row>
    <row r="32" ht="42" customHeight="1">
      <c r="A32" s="5" t="inlineStr">
        <is>
          <t>5.03</t>
        </is>
      </c>
      <c r="B32" s="6" t="inlineStr">
        <is>
          <t>5. Recorrido del embudo</t>
        </is>
      </c>
      <c r="C32" s="7" t="inlineStr">
        <is>
          <t>/embudo/&lt;id&gt;</t>
        </is>
      </c>
      <c r="D32" s="7" t="inlineStr">
        <is>
          <t>admin@iwl.test</t>
        </is>
      </c>
      <c r="E32" s="8" t="inlineStr">
        <is>
          <t>Mover de paso</t>
        </is>
      </c>
      <c r="F32" s="8" t="inlineStr">
        <is>
          <t>Pasar una candidatura de presentada a en revisión, y luego a reunión.</t>
        </is>
      </c>
      <c r="G32" s="8" t="inlineStr">
        <is>
          <t>Cambia el paso y queda anotado en el historial con fecha.</t>
        </is>
      </c>
      <c r="H32" s="8" t="inlineStr"/>
      <c r="I32" s="8" t="inlineStr"/>
      <c r="J32" s="8" t="inlineStr"/>
    </row>
    <row r="33" ht="42" customHeight="1">
      <c r="A33" s="5" t="inlineStr">
        <is>
          <t>5.04</t>
        </is>
      </c>
      <c r="B33" s="6" t="inlineStr">
        <is>
          <t>5. Recorrido del embudo</t>
        </is>
      </c>
      <c r="C33" s="7" t="inlineStr">
        <is>
          <t>/embudo/&lt;id&gt;</t>
        </is>
      </c>
      <c r="D33" s="7" t="inlineStr">
        <is>
          <t>admin@iwl.test</t>
        </is>
      </c>
      <c r="E33" s="8" t="inlineStr">
        <is>
          <t>Anotar lo que pasó en la reunión</t>
        </is>
      </c>
      <c r="F33" s="8" t="inlineStr">
        <is>
          <t>Anotar un evento con lo hablado en la reunión y en el comité.</t>
        </is>
      </c>
      <c r="G33" s="8" t="inlineStr">
        <is>
          <t>Queda en el historial, lo más reciente arriba.</t>
        </is>
      </c>
      <c r="H33" s="8" t="inlineStr"/>
      <c r="I33" s="8" t="inlineStr"/>
      <c r="J33" s="8" t="inlineStr"/>
    </row>
    <row r="34" ht="42" customHeight="1">
      <c r="A34" s="5" t="inlineStr">
        <is>
          <t>5.05</t>
        </is>
      </c>
      <c r="B34" s="6" t="inlineStr">
        <is>
          <t>5. Recorrido del embudo</t>
        </is>
      </c>
      <c r="C34" s="7" t="inlineStr">
        <is>
          <t>/embudo/&lt;id&gt;</t>
        </is>
      </c>
      <c r="D34" s="7" t="inlineStr">
        <is>
          <t>admin@iwl.test</t>
        </is>
      </c>
      <c r="E34" s="8" t="inlineStr">
        <is>
          <t>Preseleccionar</t>
        </is>
      </c>
      <c r="F34" s="8" t="inlineStr">
        <is>
          <t>Mover a preseleccionada después del comité.</t>
        </is>
      </c>
      <c r="G34" s="8" t="inlineStr">
        <is>
          <t>Cambia de paso y la cuenta del recorrido se mueve con ella.</t>
        </is>
      </c>
      <c r="H34" s="8" t="inlineStr">
        <is>
          <t>OK</t>
        </is>
      </c>
      <c r="I34" s="8" t="inlineStr"/>
      <c r="J34" s="8" t="inlineStr">
        <is>
          <t>RONDA 1 · Hay 2 maneras de moverlo, con el botón o el desplegable, si la muevo con el boton, y luego la vuelvo a mover con el desplegable, se queda pegado los dos iconos de "movido" a cada lado</t>
        </is>
      </c>
    </row>
    <row r="35" ht="42" customHeight="1">
      <c r="A35" s="5" t="inlineStr">
        <is>
          <t>5.06</t>
        </is>
      </c>
      <c r="B35" s="6" t="inlineStr">
        <is>
          <t>5. Recorrido del embudo</t>
        </is>
      </c>
      <c r="C35" s="7" t="inlineStr">
        <is>
          <t>/embudo/&lt;id&gt;</t>
        </is>
      </c>
      <c r="D35" s="7" t="inlineStr">
        <is>
          <t>admin@iwl.test</t>
        </is>
      </c>
      <c r="E35" s="8" t="inlineStr">
        <is>
          <t>Descartar con su motivo</t>
        </is>
      </c>
      <c r="F35" s="8" t="inlineStr">
        <is>
          <t>Descartar una candidatura escribiendo el motivo.</t>
        </is>
      </c>
      <c r="G35" s="8" t="inlineStr">
        <is>
          <t>Sale de las abiertas, entra en descartadas, y queda apuntado EN QUÉ PASO se cayó.</t>
        </is>
      </c>
      <c r="H35" s="8" t="inlineStr"/>
      <c r="I35" s="8" t="inlineStr"/>
      <c r="J35" s="8" t="inlineStr"/>
    </row>
    <row r="36" ht="42" customHeight="1">
      <c r="A36" s="5" t="inlineStr">
        <is>
          <t>5.07</t>
        </is>
      </c>
      <c r="B36" s="6" t="inlineStr">
        <is>
          <t>5. Recorrido del embudo</t>
        </is>
      </c>
      <c r="C36" s="7" t="inlineStr">
        <is>
          <t>/embudo</t>
        </is>
      </c>
      <c r="D36" s="7" t="inlineStr">
        <is>
          <t>admin@iwl.test</t>
        </is>
      </c>
      <c r="E36" s="8" t="inlineStr">
        <is>
          <t>Dónde se cae la gente</t>
        </is>
      </c>
      <c r="F36" s="8" t="inlineStr">
        <is>
          <t>Mirar el bloque de descartadas y las pastillas por paso.</t>
        </is>
      </c>
      <c r="G36" s="8" t="inlineStr">
        <is>
          <t>Dice cuántas se cayeron en cada paso. Es la pregunta por la que se cambia un proceso.</t>
        </is>
      </c>
      <c r="H36" s="8" t="inlineStr"/>
      <c r="I36" s="8" t="inlineStr"/>
      <c r="J36" s="8" t="inlineStr"/>
    </row>
    <row r="37" ht="42" customHeight="1">
      <c r="A37" s="5" t="inlineStr">
        <is>
          <t>5.08</t>
        </is>
      </c>
      <c r="B37" s="6" t="inlineStr">
        <is>
          <t>5. Recorrido del embudo</t>
        </is>
      </c>
      <c r="C37" s="7" t="inlineStr">
        <is>
          <t>/embudo/&lt;id&gt;</t>
        </is>
      </c>
      <c r="D37" s="7" t="inlineStr">
        <is>
          <t>admin@iwl.test</t>
        </is>
      </c>
      <c r="E37" s="8" t="inlineStr">
        <is>
          <t>Reabrir una descartada</t>
        </is>
      </c>
      <c r="F37" s="8" t="inlineStr">
        <is>
          <t>Reabrir una que se descartó por error.</t>
        </is>
      </c>
      <c r="G37" s="8" t="inlineStr">
        <is>
          <t>Vuelve a las abiertas, al paso donde estaba.</t>
        </is>
      </c>
      <c r="H37" s="8" t="inlineStr">
        <is>
          <t>OK</t>
        </is>
      </c>
      <c r="I37" s="8" t="inlineStr"/>
      <c r="J37" s="8" t="inlineStr">
        <is>
          <t>RONDA 1 · Al tener enlaces añadidos, la interfaz se desfasa</t>
        </is>
      </c>
    </row>
    <row r="38" ht="42" customHeight="1">
      <c r="A38" s="5" t="inlineStr">
        <is>
          <t>5.09</t>
        </is>
      </c>
      <c r="B38" s="6" t="inlineStr">
        <is>
          <t>5. Recorrido del embudo</t>
        </is>
      </c>
      <c r="C38" s="7" t="inlineStr">
        <is>
          <t>/candidatura/&lt;testigo&gt;</t>
        </is>
      </c>
      <c r="D38" s="7" t="inlineStr">
        <is>
          <t>sin cuenta</t>
        </is>
      </c>
      <c r="E38" s="8" t="inlineStr">
        <is>
          <t>La descartada NO lee el motivo</t>
        </is>
      </c>
      <c r="F38" s="8" t="inlineStr">
        <is>
          <t>Abrir el enlace de una candidatura descartada.</t>
        </is>
      </c>
      <c r="G38" s="8" t="inlineStr">
        <is>
          <t>Dice «Proceso cerrado» y que se lo contarán. El motivo NO aparece, y tampoco la caja de documentos vacía reprochándole lo que no mandó.</t>
        </is>
      </c>
      <c r="H38" s="8" t="inlineStr">
        <is>
          <t>OK</t>
        </is>
      </c>
      <c r="I38" s="8" t="inlineStr"/>
      <c r="J38" s="8" t="inlineStr">
        <is>
          <t>RONDA 1 · Lo único, aparece también el recuadro de "Lo que nos has mandado. Todavía no nos has mandado ningún documento"</t>
        </is>
      </c>
    </row>
    <row r="39" ht="42" customHeight="1">
      <c r="A39" s="5" t="inlineStr">
        <is>
          <t>5.10</t>
        </is>
      </c>
      <c r="B39" s="6" t="inlineStr">
        <is>
          <t>5. Recorrido del embudo</t>
        </is>
      </c>
      <c r="C39" s="7" t="inlineStr">
        <is>
          <t>/candidatura/&lt;testigo&gt;</t>
        </is>
      </c>
      <c r="D39" s="7" t="inlineStr">
        <is>
          <t>sin cuenta</t>
        </is>
      </c>
      <c r="E39" s="8" t="inlineStr">
        <is>
          <t>La candidata ve momentos, no jerga</t>
        </is>
      </c>
      <c r="F39" s="8" t="inlineStr">
        <is>
          <t>Mirar el enlace de una que está en comité.</t>
        </is>
      </c>
      <c r="G39" s="8" t="inlineStr">
        <is>
          <t>Dice «En estudio». No dice «comité» ni el paso exacto, y NO le pide que se presente: ya hemos hablado con ella.</t>
        </is>
      </c>
      <c r="H39" s="8" t="inlineStr">
        <is>
          <t>Falla</t>
        </is>
      </c>
      <c r="I39" s="8" t="inlineStr">
        <is>
          <t>Importante</t>
        </is>
      </c>
      <c r="J39" s="8" t="inlineStr">
        <is>
          <t>RONDA 1 · Aparece todo el formulario de "cuentanos quienes sois"</t>
        </is>
      </c>
    </row>
    <row r="40" ht="42" customHeight="1">
      <c r="A40" s="5" t="inlineStr">
        <is>
          <t>5.11</t>
        </is>
      </c>
      <c r="B40" s="6" t="inlineStr">
        <is>
          <t>5. Recorrido del embudo</t>
        </is>
      </c>
      <c r="C40" s="7" t="inlineStr">
        <is>
          <t>/candidatura/&lt;testigo&gt;</t>
        </is>
      </c>
      <c r="D40" s="7" t="inlineStr">
        <is>
          <t>sin cuenta</t>
        </is>
      </c>
      <c r="E40" s="8" t="inlineStr">
        <is>
          <t>Corregir un dato estando ya avanzada</t>
        </is>
      </c>
      <c r="F40" s="8" t="inlineStr">
        <is>
          <t>En una candidatura en comité, buscar cómo cambiar la web o el teléfono.</t>
        </is>
      </c>
      <c r="G40" s="8" t="inlineStr">
        <is>
          <t>Está plegado bajo «Corregir nuestros datos». Existe, pero no es lo primero que ve.</t>
        </is>
      </c>
      <c r="H40" s="8" t="inlineStr"/>
      <c r="I40" s="8" t="inlineStr"/>
      <c r="J40" s="8" t="inlineStr"/>
    </row>
    <row r="41" ht="42" customHeight="1">
      <c r="A41" s="5" t="inlineStr">
        <is>
          <t>6.01</t>
        </is>
      </c>
      <c r="B41" s="6" t="inlineStr">
        <is>
          <t>6. NDA y DD de candidata</t>
        </is>
      </c>
      <c r="C41" s="7" t="inlineStr">
        <is>
          <t>/embudo/&lt;id&gt;</t>
        </is>
      </c>
      <c r="D41" s="7" t="inlineStr">
        <is>
          <t>admin@iwl.test</t>
        </is>
      </c>
      <c r="E41" s="8" t="inlineStr">
        <is>
          <t>Al llegar al NDA se piden los documentos</t>
        </is>
      </c>
      <c r="F41" s="8" t="inlineStr">
        <is>
          <t>Mover una preseleccionada al paso de NDA.</t>
        </is>
      </c>
      <c r="G41" s="8" t="inlineStr">
        <is>
          <t>Aparece sola la lista de documentos que hay que pedirle para el due diligence.</t>
        </is>
      </c>
      <c r="H41" s="8" t="inlineStr">
        <is>
          <t>A medias</t>
        </is>
      </c>
      <c r="I41" s="8" t="inlineStr">
        <is>
          <t>Menor</t>
        </is>
      </c>
      <c r="J41" s="8" t="inlineStr">
        <is>
          <t>RONDA 1 · Si que aparece sola la lista pero si por algún casual ese candidato baja a un paso anterior, sigue apareciendo la lista de documentos a entregar</t>
        </is>
      </c>
    </row>
    <row r="42" ht="42" customHeight="1">
      <c r="A42" s="5" t="inlineStr">
        <is>
          <t>6.02</t>
        </is>
      </c>
      <c r="B42" s="6" t="inlineStr">
        <is>
          <t>6. NDA y DD de candidata</t>
        </is>
      </c>
      <c r="C42" s="7" t="inlineStr">
        <is>
          <t>/embudo/&lt;id&gt;</t>
        </is>
      </c>
      <c r="D42" s="7" t="inlineStr">
        <is>
          <t>admin@iwl.test</t>
        </is>
      </c>
      <c r="E42" s="8" t="inlineStr">
        <is>
          <t>Si la candidatura retrocede, los deberes desaparecen</t>
        </is>
      </c>
      <c r="F42" s="8" t="inlineStr">
        <is>
          <t>Con una en due diligence, devolverla a comité y mirar su enlace.</t>
        </is>
      </c>
      <c r="G42" s="8" t="inlineStr">
        <is>
          <t>Ya no le pide documentos. Lo que entregó NO se borra: vuelve a salir si se la devuelve a diligencia.</t>
        </is>
      </c>
      <c r="H42" s="8" t="inlineStr"/>
      <c r="I42" s="8" t="inlineStr"/>
      <c r="J42" s="8" t="inlineStr"/>
    </row>
    <row r="43" ht="42" customHeight="1">
      <c r="A43" s="5" t="inlineStr">
        <is>
          <t>6.03</t>
        </is>
      </c>
      <c r="B43" s="6" t="inlineStr">
        <is>
          <t>6. NDA y DD de candidata</t>
        </is>
      </c>
      <c r="C43" s="7" t="inlineStr">
        <is>
          <t>/embudo/&lt;id&gt;</t>
        </is>
      </c>
      <c r="D43" s="7" t="inlineStr">
        <is>
          <t>admin@iwl.test</t>
        </is>
      </c>
      <c r="E43" s="8" t="inlineStr">
        <is>
          <t>Pedir un documento concreto de más</t>
        </is>
      </c>
      <c r="F43" s="8" t="inlineStr">
        <is>
          <t>Añadir una petición con su nombre y para cuándo.</t>
        </is>
      </c>
      <c r="G43" s="8" t="inlineStr">
        <is>
          <t>Se añade a la lista y ella la ve en su pantalla.</t>
        </is>
      </c>
      <c r="H43" s="8" t="inlineStr"/>
      <c r="I43" s="8" t="inlineStr"/>
      <c r="J43" s="8" t="inlineStr"/>
    </row>
    <row r="44" ht="42" customHeight="1">
      <c r="A44" s="5" t="inlineStr">
        <is>
          <t>6.04</t>
        </is>
      </c>
      <c r="B44" s="6" t="inlineStr">
        <is>
          <t>6. NDA y DD de candidata</t>
        </is>
      </c>
      <c r="C44" s="7" t="inlineStr">
        <is>
          <t>/embudo/&lt;id&gt;</t>
        </is>
      </c>
      <c r="D44" s="7" t="inlineStr">
        <is>
          <t>admin@iwl.test</t>
        </is>
      </c>
      <c r="E44" s="8" t="inlineStr">
        <is>
          <t>Darle cuenta para el due diligence</t>
        </is>
      </c>
      <c r="F44" s="8" t="inlineStr">
        <is>
          <t>Pulsar «Darle cuenta para el due diligence».</t>
        </is>
      </c>
      <c r="G44" s="8" t="inlineStr">
        <is>
          <t>Enseña el correo y la contraseña UNA SOLA VEZ, y avisa de que no se vuelve a enseñar. Copiarla.</t>
        </is>
      </c>
      <c r="H44" s="8" t="inlineStr"/>
      <c r="I44" s="8" t="inlineStr"/>
      <c r="J44" s="8" t="inlineStr"/>
    </row>
    <row r="45" ht="42" customHeight="1">
      <c r="A45" s="5" t="inlineStr">
        <is>
          <t>6.05</t>
        </is>
      </c>
      <c r="B45" s="6" t="inlineStr">
        <is>
          <t>6. NDA y DD de candidata</t>
        </is>
      </c>
      <c r="C45" s="7" t="inlineStr">
        <is>
          <t>/candidatura/&lt;testigo&gt;</t>
        </is>
      </c>
      <c r="D45" s="7" t="inlineStr">
        <is>
          <t>sin cuenta</t>
        </is>
      </c>
      <c r="E45" s="8" t="inlineStr">
        <is>
          <t>El enlace privado deja de valer</t>
        </is>
      </c>
      <c r="F45" s="8" t="inlineStr">
        <is>
          <t>Después de darle cuenta, abrir el enlace privado de antes.</t>
        </is>
      </c>
      <c r="G45" s="8" t="inlineStr">
        <is>
          <t>404. Desde que tiene cuenta, se entra por la puerta.</t>
        </is>
      </c>
      <c r="H45" s="8" t="inlineStr"/>
      <c r="I45" s="8" t="inlineStr"/>
      <c r="J45" s="8" t="inlineStr"/>
    </row>
    <row r="46" ht="42" customHeight="1">
      <c r="A46" s="5" t="inlineStr">
        <is>
          <t>6.06</t>
        </is>
      </c>
      <c r="B46" s="6" t="inlineStr">
        <is>
          <t>6. NDA y DD de candidata</t>
        </is>
      </c>
      <c r="C46" s="7" t="inlineStr">
        <is>
          <t>/entrar → /candidatura</t>
        </is>
      </c>
      <c r="D46" s="7" t="inlineStr">
        <is>
          <t>la candidata</t>
        </is>
      </c>
      <c r="E46" s="8" t="inlineStr">
        <is>
          <t>Entra con su cuenta y aterriza en lo suyo</t>
        </is>
      </c>
      <c r="F46" s="8" t="inlineStr">
        <is>
          <t>Entrar con el correo y la contraseña que se enseñaron.</t>
        </is>
      </c>
      <c r="G46" s="8" t="inlineStr">
        <is>
          <t>Cae en /candidatura, con su nombre y lo que le piden. NO en «no tienes compañía».</t>
        </is>
      </c>
      <c r="H46" s="8" t="inlineStr"/>
      <c r="I46" s="8" t="inlineStr"/>
      <c r="J46" s="8" t="inlineStr"/>
    </row>
    <row r="47" ht="42" customHeight="1">
      <c r="A47" s="5" t="inlineStr">
        <is>
          <t>6.07</t>
        </is>
      </c>
      <c r="B47" s="6" t="inlineStr">
        <is>
          <t>6. NDA y DD de candidata</t>
        </is>
      </c>
      <c r="C47" s="7" t="inlineStr">
        <is>
          <t>/candidatura</t>
        </is>
      </c>
      <c r="D47" s="7" t="inlineStr">
        <is>
          <t>la candidata</t>
        </is>
      </c>
      <c r="E47" s="8" t="inlineStr">
        <is>
          <t>Sube un documento del due diligence</t>
        </is>
      </c>
      <c r="F47" s="8" t="inlineStr">
        <is>
          <t>Elegir una petición y subir el fichero.</t>
        </is>
      </c>
      <c r="G47" s="8" t="inlineStr">
        <is>
          <t>Queda entregado y ella lo ve. El fichero es privado: no hay URL pública.</t>
        </is>
      </c>
      <c r="H47" s="8" t="inlineStr"/>
      <c r="I47" s="8" t="inlineStr"/>
      <c r="J47" s="8" t="inlineStr"/>
    </row>
    <row r="48" ht="42" customHeight="1">
      <c r="A48" s="5" t="inlineStr">
        <is>
          <t>6.08</t>
        </is>
      </c>
      <c r="B48" s="6" t="inlineStr">
        <is>
          <t>6. NDA y DD de candidata</t>
        </is>
      </c>
      <c r="C48" s="7" t="inlineStr">
        <is>
          <t>/embudo/&lt;id&gt;</t>
        </is>
      </c>
      <c r="D48" s="7" t="inlineStr">
        <is>
          <t>admin@iwl.test</t>
        </is>
      </c>
      <c r="E48" s="8" t="inlineStr">
        <is>
          <t>IWL abre lo que entregó</t>
        </is>
      </c>
      <c r="F48" s="8" t="inlineStr">
        <is>
          <t>Abrir desde la ficha el documento que subió.</t>
        </is>
      </c>
      <c r="G48" s="8" t="inlineStr">
        <is>
          <t>Se descarga o se abre con enlace firmado y caducable.</t>
        </is>
      </c>
      <c r="H48" s="8" t="inlineStr"/>
      <c r="I48" s="8" t="inlineStr"/>
      <c r="J48" s="8" t="inlineStr"/>
    </row>
    <row r="49" ht="42" customHeight="1">
      <c r="A49" s="5" t="inlineStr">
        <is>
          <t>7.01</t>
        </is>
      </c>
      <c r="B49" s="6" t="inlineStr">
        <is>
          <t>7. Acuerdo y firma</t>
        </is>
      </c>
      <c r="C49" s="7" t="inlineStr">
        <is>
          <t>/embudo/&lt;id&gt;</t>
        </is>
      </c>
      <c r="D49" s="7" t="inlineStr">
        <is>
          <t>admin@iwl.test</t>
        </is>
      </c>
      <c r="E49" s="8" t="inlineStr">
        <is>
          <t>Fijar la etapa tras el due diligence</t>
        </is>
      </c>
      <c r="F49" s="8" t="inlineStr">
        <is>
          <t>En el bloque «El acuerdo», el campo «Etapa, tras el due diligence».</t>
        </is>
      </c>
      <c r="G49" s="8" t="inlineStr">
        <is>
          <t>Se guarda y AL RECARGAR sigue puesta: el desplegable ya no vuelve a donde estaba. Es la etapa que hereda la compañía al firmar.</t>
        </is>
      </c>
      <c r="H49" s="8" t="inlineStr"/>
      <c r="I49" s="8" t="inlineStr"/>
      <c r="J49" s="8" t="inlineStr">
        <is>
          <t>RONDA 1 · No lo entiendo/encuentro/no está</t>
        </is>
      </c>
    </row>
    <row r="50" ht="42" customHeight="1">
      <c r="A50" s="5" t="inlineStr">
        <is>
          <t>7.02</t>
        </is>
      </c>
      <c r="B50" s="6" t="inlineStr">
        <is>
          <t>7. Acuerdo y firma</t>
        </is>
      </c>
      <c r="C50" s="7" t="inlineStr">
        <is>
          <t>/embudo/&lt;id&gt;</t>
        </is>
      </c>
      <c r="D50" s="7" t="inlineStr">
        <is>
          <t>admin@iwl.test</t>
        </is>
      </c>
      <c r="E50" s="8" t="inlineStr">
        <is>
          <t>Armar el acuerdo con el equity</t>
        </is>
      </c>
      <c r="F50" s="8" t="inlineStr">
        <is>
          <t>Escribir lo que aporta IWL y el equity que se pide. Guardar.</t>
        </is>
      </c>
      <c r="G50" s="8" t="inlineStr">
        <is>
          <t>Queda guardado y visible en el bloque de NDA, estado y equity.</t>
        </is>
      </c>
      <c r="H50" s="8" t="inlineStr">
        <is>
          <t>OK</t>
        </is>
      </c>
      <c r="I50" s="8" t="inlineStr"/>
      <c r="J50" s="8" t="inlineStr">
        <is>
          <t>RONDA 1 · El estado no se "guarda" del todo, el desplegable vuelve a donde estaba. Pero si recargas la página se puede que si quedó guardado</t>
        </is>
      </c>
    </row>
    <row r="51" ht="42" customHeight="1">
      <c r="A51" s="5" t="inlineStr">
        <is>
          <t>7.03</t>
        </is>
      </c>
      <c r="B51" s="6" t="inlineStr">
        <is>
          <t>7. Acuerdo y firma</t>
        </is>
      </c>
      <c r="C51" s="7" t="inlineStr">
        <is>
          <t>/embudo/&lt;id&gt;</t>
        </is>
      </c>
      <c r="D51" s="7" t="inlineStr">
        <is>
          <t>admin@iwl.test</t>
        </is>
      </c>
      <c r="E51" s="8" t="inlineStr">
        <is>
          <t>Firmar el acuerdo</t>
        </is>
      </c>
      <c r="F51" s="8" t="inlineStr">
        <is>
          <t>Pulsar firmar con la fecha.</t>
        </is>
      </c>
      <c r="G51" s="8" t="inlineStr">
        <is>
          <t>Pasa a firmada, SE CREA LA COMPAÑÍA, y aparece el enlace «Ver su ficha».</t>
        </is>
      </c>
      <c r="H51" s="8" t="inlineStr"/>
      <c r="I51" s="8" t="inlineStr"/>
      <c r="J51" s="8" t="inlineStr"/>
    </row>
    <row r="52" ht="42" customHeight="1">
      <c r="A52" s="5" t="inlineStr">
        <is>
          <t>7.04</t>
        </is>
      </c>
      <c r="B52" s="6" t="inlineStr">
        <is>
          <t>7. Acuerdo y firma</t>
        </is>
      </c>
      <c r="C52" s="7" t="inlineStr">
        <is>
          <t>/cartera/&lt;slug&gt;</t>
        </is>
      </c>
      <c r="D52" s="7" t="inlineStr">
        <is>
          <t>admin@iwl.test</t>
        </is>
      </c>
      <c r="E52" s="8" t="inlineStr">
        <is>
          <t>La compañía nace con lo del embudo</t>
        </is>
      </c>
      <c r="F52" s="8" t="inlineStr">
        <is>
          <t>Abrir la ficha recién creada desde el enlace.</t>
        </is>
      </c>
      <c r="G52" s="8" t="inlineStr">
        <is>
          <t>Trae nombre, sector, descripción y etapa. No hay que volver a teclear nada.</t>
        </is>
      </c>
      <c r="H52" s="8" t="inlineStr"/>
      <c r="I52" s="8" t="inlineStr"/>
      <c r="J52" s="8" t="inlineStr"/>
    </row>
    <row r="53" ht="42" customHeight="1">
      <c r="A53" s="5" t="inlineStr">
        <is>
          <t>7.05</t>
        </is>
      </c>
      <c r="B53" s="6" t="inlineStr">
        <is>
          <t>7. Acuerdo y firma</t>
        </is>
      </c>
      <c r="C53" s="7" t="inlineStr">
        <is>
          <t>/proyecto/diligencia</t>
        </is>
      </c>
      <c r="D53" s="7" t="inlineStr">
        <is>
          <t>la fundadora</t>
        </is>
      </c>
      <c r="E53" s="8" t="inlineStr">
        <is>
          <t>La compañía lee su expediente de candidatura</t>
        </is>
      </c>
      <c r="F53" s="8" t="inlineStr">
        <is>
          <t>Entrar como la fundadora de la compañía recién creada y buscar sus documentos.</t>
        </is>
      </c>
      <c r="G53" s="8" t="inlineStr">
        <is>
          <t>Los ve. NO están duplicados: se leen del expediente, no se copiaron.</t>
        </is>
      </c>
      <c r="H53" s="8" t="inlineStr">
        <is>
          <t>A medias</t>
        </is>
      </c>
      <c r="I53" s="8" t="inlineStr">
        <is>
          <t>Importante</t>
        </is>
      </c>
      <c r="J53" s="8" t="inlineStr">
        <is>
          <t>RONDA 1 · Mucho lío al subir/aprobar documentos, lo que hablamos, hace falta un enlace para subir los documentos en cada requerimiento. Añadir también un check de que está aprobado o algo así</t>
        </is>
      </c>
    </row>
    <row r="54" ht="42" customHeight="1">
      <c r="A54" s="5" t="inlineStr">
        <is>
          <t>7.06</t>
        </is>
      </c>
      <c r="B54" s="6" t="inlineStr">
        <is>
          <t>7. Acuerdo y firma</t>
        </is>
      </c>
      <c r="C54" s="7" t="inlineStr">
        <is>
          <t>/embudo/&lt;id&gt;</t>
        </is>
      </c>
      <c r="D54" s="7" t="inlineStr">
        <is>
          <t>admin@iwl.test</t>
        </is>
      </c>
      <c r="E54" s="8" t="inlineStr">
        <is>
          <t>Una firmada no se edita</t>
        </is>
      </c>
      <c r="F54" s="8" t="inlineStr">
        <is>
          <t>Intentar cambiar el equity de una ya firmada, y guardar.</t>
        </is>
      </c>
      <c r="G54" s="8" t="inlineStr">
        <is>
          <t>Lo rechaza diciendo que ya está firmada. Lo impide la base, no la pantalla: forzarlo tampoco vale.</t>
        </is>
      </c>
      <c r="H54" s="8" t="inlineStr">
        <is>
          <t>Falla</t>
        </is>
      </c>
      <c r="I54" s="8" t="inlineStr">
        <is>
          <t>Importante</t>
        </is>
      </c>
      <c r="J54" s="8" t="inlineStr">
        <is>
          <t>RONDA 1 · Si deja cambiarlo</t>
        </is>
      </c>
    </row>
    <row r="55" ht="42" customHeight="1">
      <c r="A55" s="5" t="inlineStr">
        <is>
          <t>8.01</t>
        </is>
      </c>
      <c r="B55" s="6" t="inlineStr">
        <is>
          <t>8. Cartera y cohorte</t>
        </is>
      </c>
      <c r="C55" s="7" t="inlineStr">
        <is>
          <t>/cartera</t>
        </is>
      </c>
      <c r="D55" s="7" t="inlineStr">
        <is>
          <t>programa@iwl.test</t>
        </is>
      </c>
      <c r="E55" s="8" t="inlineStr">
        <is>
          <t>La cohorte de un vistazo</t>
        </is>
      </c>
      <c r="F55" s="8" t="inlineStr">
        <is>
          <t>Abrir la cartera y recorrer la pantalla de arriba abajo.</t>
        </is>
      </c>
      <c r="G55" s="8" t="inlineStr">
        <is>
          <t>Cifras de cabecera, cohorte, scorecards y siguientes pasos, sin texto cortado ni solapes.</t>
        </is>
      </c>
      <c r="H55" s="8" t="inlineStr"/>
      <c r="I55" s="8" t="inlineStr"/>
      <c r="J55" s="8" t="inlineStr"/>
    </row>
    <row r="56" ht="42" customHeight="1">
      <c r="A56" s="5" t="inlineStr">
        <is>
          <t>8.02</t>
        </is>
      </c>
      <c r="B56" s="6" t="inlineStr">
        <is>
          <t>8. Cartera y cohorte</t>
        </is>
      </c>
      <c r="C56" s="7" t="inlineStr">
        <is>
          <t>/cartera</t>
        </is>
      </c>
      <c r="D56" s="7" t="inlineStr">
        <is>
          <t>admin@iwl.test</t>
        </is>
      </c>
      <c r="E56" s="8" t="inlineStr">
        <is>
          <t>Subir el logo de una startup</t>
        </is>
      </c>
      <c r="F56" s="8" t="inlineStr">
        <is>
          <t>Al lado de una compañía, subir una imagen de logo.</t>
        </is>
      </c>
      <c r="G56" s="8" t="inlineStr">
        <is>
          <t>Se ve el logo en su sitio y la confirmación NO desaparece sola.</t>
        </is>
      </c>
      <c r="H56" s="8" t="inlineStr"/>
      <c r="I56" s="8" t="inlineStr"/>
      <c r="J56" s="8" t="inlineStr"/>
    </row>
    <row r="57" ht="42" customHeight="1">
      <c r="A57" s="5" t="inlineStr">
        <is>
          <t>8.03</t>
        </is>
      </c>
      <c r="B57" s="6" t="inlineStr">
        <is>
          <t>8. Cartera y cohorte</t>
        </is>
      </c>
      <c r="C57" s="7" t="inlineStr">
        <is>
          <t>/cartera</t>
        </is>
      </c>
      <c r="D57" s="7" t="inlineStr">
        <is>
          <t>admin@iwl.test</t>
        </is>
      </c>
      <c r="E57" s="8" t="inlineStr">
        <is>
          <t>Quitar un logo</t>
        </is>
      </c>
      <c r="F57" s="8" t="inlineStr">
        <is>
          <t>Quitar el logo de una compañía.</t>
        </is>
      </c>
      <c r="G57" s="8" t="inlineStr">
        <is>
          <t>Vuelve a las iniciales y lo confirma.</t>
        </is>
      </c>
      <c r="H57" s="8" t="inlineStr"/>
      <c r="I57" s="8" t="inlineStr"/>
      <c r="J57" s="8" t="inlineStr"/>
    </row>
    <row r="58" ht="42" customHeight="1">
      <c r="A58" s="5" t="inlineStr">
        <is>
          <t>8.04</t>
        </is>
      </c>
      <c r="B58" s="6" t="inlineStr">
        <is>
          <t>8. Cartera y cohorte</t>
        </is>
      </c>
      <c r="C58" s="7" t="inlineStr">
        <is>
          <t>/cartera</t>
        </is>
      </c>
      <c r="D58" s="7" t="inlineStr">
        <is>
          <t>programa@iwl.test</t>
        </is>
      </c>
      <c r="E58" s="8" t="inlineStr">
        <is>
          <t>Preparación en el tiempo</t>
        </is>
      </c>
      <c r="F58" s="8" t="inlineStr">
        <is>
          <t>Mirar el gráfico y su texto de abajo.</t>
        </is>
      </c>
      <c r="G58" s="8" t="inlineStr">
        <is>
          <t>Se lee entero, sin recortes. Cada serie lleva etiqueta de texto, no solo color.</t>
        </is>
      </c>
      <c r="H58" s="8" t="inlineStr"/>
      <c r="I58" s="8" t="inlineStr"/>
      <c r="J58" s="8" t="inlineStr"/>
    </row>
    <row r="59" ht="42" customHeight="1">
      <c r="A59" s="5" t="inlineStr">
        <is>
          <t>8.05</t>
        </is>
      </c>
      <c r="B59" s="6" t="inlineStr">
        <is>
          <t>8. Cartera y cohorte</t>
        </is>
      </c>
      <c r="C59" s="7" t="inlineStr">
        <is>
          <t>/cartera</t>
        </is>
      </c>
      <c r="D59" s="7" t="inlineStr">
        <is>
          <t>programa@iwl.test</t>
        </is>
      </c>
      <c r="E59" s="8" t="inlineStr">
        <is>
          <t>Siguientes pasos llevan a donde se hacen</t>
        </is>
      </c>
      <c r="F59" s="8" t="inlineStr">
        <is>
          <t>Pulsar un paso de «Siguientes pasos», en la cartera y en la ficha de una compañía.</t>
        </is>
      </c>
      <c r="G59" s="8" t="inlineStr">
        <is>
          <t>Abre la sección donde se actúa: un hallazgo lleva al DD técnico, un hito del Anexo a Programa, el runway a KPI.</t>
        </is>
      </c>
      <c r="H59" s="8" t="inlineStr">
        <is>
          <t>Falla</t>
        </is>
      </c>
      <c r="I59" s="8" t="inlineStr"/>
      <c r="J59" s="8" t="inlineStr">
        <is>
          <t>RONDA 1 · No llevan a ningún lado, no es clickable</t>
        </is>
      </c>
    </row>
    <row r="60" ht="42" customHeight="1">
      <c r="A60" s="5" t="inlineStr">
        <is>
          <t>8.06</t>
        </is>
      </c>
      <c r="B60" s="6" t="inlineStr">
        <is>
          <t>8. Cartera y cohorte</t>
        </is>
      </c>
      <c r="C60" s="7" t="inlineStr">
        <is>
          <t>/cartera</t>
        </is>
      </c>
      <c r="D60" s="7" t="inlineStr">
        <is>
          <t>programa@iwl.test</t>
        </is>
      </c>
      <c r="E60" s="8" t="inlineStr">
        <is>
          <t>Una compañía archivada no sale</t>
        </is>
      </c>
      <c r="F60" s="8" t="inlineStr">
        <is>
          <t>Archivar una desde Administración y volver a la cartera.</t>
        </is>
      </c>
      <c r="G60" s="8" t="inlineStr">
        <is>
          <t>Deja de aparecer en la cohorte. No se ha borrado nada.</t>
        </is>
      </c>
      <c r="H60" s="8" t="inlineStr"/>
      <c r="I60" s="8" t="inlineStr"/>
      <c r="J60" s="8" t="inlineStr"/>
    </row>
    <row r="61" ht="42" customHeight="1">
      <c r="A61" s="5" t="inlineStr">
        <is>
          <t>8.07</t>
        </is>
      </c>
      <c r="B61" s="6" t="inlineStr">
        <is>
          <t>8. Cartera y cohorte</t>
        </is>
      </c>
      <c r="C61" s="7" t="inlineStr">
        <is>
          <t>/cartera/&lt;slug&gt;</t>
        </is>
      </c>
      <c r="D61" s="7" t="inlineStr">
        <is>
          <t>programa@iwl.test</t>
        </is>
      </c>
      <c r="E61" s="8" t="inlineStr">
        <is>
          <t>Entrar en una compañía</t>
        </is>
      </c>
      <c r="F61" s="8" t="inlineStr">
        <is>
          <t>Pulsar sobre una compañía de la lista.</t>
        </is>
      </c>
      <c r="G61" s="8" t="inlineStr">
        <is>
          <t>Abre su resumen con las ocho secciones arriba.</t>
        </is>
      </c>
      <c r="H61" s="8" t="inlineStr"/>
      <c r="I61" s="8" t="inlineStr"/>
      <c r="J61" s="8" t="inlineStr">
        <is>
          <t>RONDA 1 · No lo entiendo/encuentro/no está</t>
        </is>
      </c>
    </row>
    <row r="62" ht="42" customHeight="1">
      <c r="A62" s="5" t="inlineStr">
        <is>
          <t>9.01</t>
        </is>
      </c>
      <c r="B62" s="6" t="inlineStr">
        <is>
          <t>9. Comparativa</t>
        </is>
      </c>
      <c r="C62" s="7" t="inlineStr">
        <is>
          <t>/comparativa</t>
        </is>
      </c>
      <c r="D62" s="7" t="inlineStr">
        <is>
          <t>programa@iwl.test</t>
        </is>
      </c>
      <c r="E62" s="8" t="inlineStr">
        <is>
          <t>¿Quién va por delante?</t>
        </is>
      </c>
      <c r="F62" s="8" t="inlineStr">
        <is>
          <t>Mirar el primer gráfico.</t>
        </is>
      </c>
      <c r="G62" s="8" t="inlineStr">
        <is>
          <t>Barras con el % del objetivo de SU etapa alcanzado. 100 es llegar. No niveles brutos.</t>
        </is>
      </c>
      <c r="H62" s="8" t="inlineStr"/>
      <c r="I62" s="8" t="inlineStr"/>
      <c r="J62" s="8" t="inlineStr"/>
    </row>
    <row r="63" ht="42" customHeight="1">
      <c r="A63" s="5" t="inlineStr">
        <is>
          <t>9.02</t>
        </is>
      </c>
      <c r="B63" s="6" t="inlineStr">
        <is>
          <t>9. Comparativa</t>
        </is>
      </c>
      <c r="C63" s="7" t="inlineStr">
        <is>
          <t>/comparativa</t>
        </is>
      </c>
      <c r="D63" s="7" t="inlineStr">
        <is>
          <t>programa@iwl.test</t>
        </is>
      </c>
      <c r="E63" s="8" t="inlineStr">
        <is>
          <t>¿Dónde flojea la cohorte?</t>
        </is>
      </c>
      <c r="F63" s="8" t="inlineStr">
        <is>
          <t>Mirar el segundo gráfico.</t>
        </is>
      </c>
      <c r="G63" s="8" t="inlineStr">
        <is>
          <t>Dimensiones ordenadas por brecha media, lo peor arriba, con cuántas compañías están por debajo.</t>
        </is>
      </c>
      <c r="H63" s="8" t="inlineStr"/>
      <c r="I63" s="8" t="inlineStr"/>
      <c r="J63" s="8" t="inlineStr"/>
    </row>
    <row r="64" ht="42" customHeight="1">
      <c r="A64" s="5" t="inlineStr">
        <is>
          <t>9.03</t>
        </is>
      </c>
      <c r="B64" s="6" t="inlineStr">
        <is>
          <t>9. Comparativa</t>
        </is>
      </c>
      <c r="C64" s="7" t="inlineStr">
        <is>
          <t>/comparativa</t>
        </is>
      </c>
      <c r="D64" s="7" t="inlineStr">
        <is>
          <t>programa@iwl.test</t>
        </is>
      </c>
      <c r="E64" s="8" t="inlineStr">
        <is>
          <t>Las cifras exactas siguen estando</t>
        </is>
      </c>
      <c r="F64" s="8" t="inlineStr">
        <is>
          <t>Bajar al final de la página.</t>
        </is>
      </c>
      <c r="G64" s="8" t="inlineStr">
        <is>
          <t>La tabla «Las cifras, una a una» está ahí para cuando hace falta el dato exacto.</t>
        </is>
      </c>
      <c r="H64" s="8" t="inlineStr"/>
      <c r="I64" s="8" t="inlineStr"/>
      <c r="J64" s="8" t="inlineStr"/>
    </row>
    <row r="65" ht="42" customHeight="1">
      <c r="A65" s="5" t="inlineStr">
        <is>
          <t>9.04</t>
        </is>
      </c>
      <c r="B65" s="6" t="inlineStr">
        <is>
          <t>9. Comparativa</t>
        </is>
      </c>
      <c r="C65" s="7" t="inlineStr">
        <is>
          <t>/comparativa</t>
        </is>
      </c>
      <c r="D65" s="7" t="inlineStr">
        <is>
          <t>programa@iwl.test</t>
        </is>
      </c>
      <c r="E65" s="8" t="inlineStr">
        <is>
          <t>Runway, MRR y preparación</t>
        </is>
      </c>
      <c r="F65" s="8" t="inlineStr">
        <is>
          <t>Mirar los tres bloques de tracción.</t>
        </is>
      </c>
      <c r="G65" s="8" t="inlineStr">
        <is>
          <t>Cuadran con lo cargado en KPI de cada compañía.</t>
        </is>
      </c>
      <c r="H65" s="8" t="inlineStr"/>
      <c r="I65" s="8" t="inlineStr"/>
      <c r="J65" s="8" t="inlineStr"/>
    </row>
    <row r="66" ht="42" customHeight="1">
      <c r="A66" s="5" t="inlineStr">
        <is>
          <t>9.05</t>
        </is>
      </c>
      <c r="B66" s="6" t="inlineStr">
        <is>
          <t>9. Comparativa</t>
        </is>
      </c>
      <c r="C66" s="7" t="inlineStr">
        <is>
          <t>/comparativa</t>
        </is>
      </c>
      <c r="D66" s="7" t="inlineStr">
        <is>
          <t>programa@iwl.test</t>
        </is>
      </c>
      <c r="E66" s="8" t="inlineStr">
        <is>
          <t>Lo sin medir no es un cero</t>
        </is>
      </c>
      <c r="F66" s="8" t="inlineStr">
        <is>
          <t>Mirar una compañía sin evaluar todavía.</t>
        </is>
      </c>
      <c r="G66" s="8" t="inlineStr">
        <is>
          <t>Aparece como no evaluada («—»), NO como un cero ni la última del ranking.</t>
        </is>
      </c>
      <c r="H66" s="8" t="inlineStr"/>
      <c r="I66" s="8" t="inlineStr"/>
      <c r="J66" s="8" t="inlineStr"/>
    </row>
    <row r="67" ht="42" customHeight="1">
      <c r="A67" s="5" t="inlineStr">
        <is>
          <t>10.01</t>
        </is>
      </c>
      <c r="B67" s="6" t="inlineStr">
        <is>
          <t>10. Resumen de compañía</t>
        </is>
      </c>
      <c r="C67" s="7" t="inlineStr">
        <is>
          <t>/cartera/&lt;slug&gt;</t>
        </is>
      </c>
      <c r="D67" s="7" t="inlineStr">
        <is>
          <t>programa@iwl.test</t>
        </is>
      </c>
      <c r="E67" s="8" t="inlineStr">
        <is>
          <t>La cabecera dice dónde está</t>
        </is>
      </c>
      <c r="F67" s="8" t="inlineStr">
        <is>
          <t>Mirar score técnico, preparación, semáforo, fase, etapa y perfil.</t>
        </is>
      </c>
      <c r="G67" s="8" t="inlineStr">
        <is>
          <t>Cuadran con lo evaluado. El semáforo explica su motivo.</t>
        </is>
      </c>
      <c r="H67" s="8" t="inlineStr"/>
      <c r="I67" s="8" t="inlineStr"/>
      <c r="J67" s="8" t="inlineStr">
        <is>
          <t>RONDA 1 · No lo entiendo/encuentro/no está</t>
        </is>
      </c>
    </row>
    <row r="68" ht="42" customHeight="1">
      <c r="A68" s="5" t="inlineStr">
        <is>
          <t>10.02</t>
        </is>
      </c>
      <c r="B68" s="6" t="inlineStr">
        <is>
          <t>10. Resumen de compañía</t>
        </is>
      </c>
      <c r="C68" s="7" t="inlineStr">
        <is>
          <t>/cartera/&lt;slug&gt;</t>
        </is>
      </c>
      <c r="D68" s="7" t="inlineStr">
        <is>
          <t>programa@iwl.test</t>
        </is>
      </c>
      <c r="E68" s="8" t="inlineStr">
        <is>
          <t>Movimiento frente a la línea base</t>
        </is>
      </c>
      <c r="F68" s="8" t="inlineStr">
        <is>
          <t>Mirar la variación al lado de cada score.</t>
        </is>
      </c>
      <c r="G68" s="8" t="inlineStr">
        <is>
          <t>Dice cuánto se ha movido desde que se congeló la línea base.</t>
        </is>
      </c>
      <c r="H68" s="8" t="inlineStr"/>
      <c r="I68" s="8" t="inlineStr"/>
      <c r="J68" s="8" t="inlineStr">
        <is>
          <t>RONDA 1 · No lo entiendo/encuentro/no está</t>
        </is>
      </c>
    </row>
    <row r="69" ht="42" customHeight="1">
      <c r="A69" s="5" t="inlineStr">
        <is>
          <t>10.03</t>
        </is>
      </c>
      <c r="B69" s="6" t="inlineStr">
        <is>
          <t>10. Resumen de compañía</t>
        </is>
      </c>
      <c r="C69" s="7" t="inlineStr">
        <is>
          <t>/cartera/&lt;slug&gt;</t>
        </is>
      </c>
      <c r="D69" s="7" t="inlineStr">
        <is>
          <t>programa@iwl.test</t>
        </is>
      </c>
      <c r="E69" s="8" t="inlineStr">
        <is>
          <t>Sin evaluar parece sin evaluar</t>
        </is>
      </c>
      <c r="F69" s="8" t="inlineStr">
        <is>
          <t>Abrir una compañía a la que nadie ha puntuado.</t>
        </is>
      </c>
      <c r="G69" s="8" t="inlineStr">
        <is>
          <t>Los scores ponen «—». No hay un 0 que parezca una mala nota.</t>
        </is>
      </c>
      <c r="H69" s="8" t="inlineStr"/>
      <c r="I69" s="8" t="inlineStr"/>
      <c r="J69" s="8" t="inlineStr"/>
    </row>
    <row r="70" ht="42" customHeight="1">
      <c r="A70" s="5" t="inlineStr">
        <is>
          <t>10.04</t>
        </is>
      </c>
      <c r="B70" s="6" t="inlineStr">
        <is>
          <t>10. Resumen de compañía</t>
        </is>
      </c>
      <c r="C70" s="7" t="inlineStr">
        <is>
          <t>/proyecto</t>
        </is>
      </c>
      <c r="D70" s="7" t="inlineStr">
        <is>
          <t>fundadora@marea.test</t>
        </is>
      </c>
      <c r="E70" s="8" t="inlineStr">
        <is>
          <t>La fundadora ve lo mismo en papel blanco</t>
        </is>
      </c>
      <c r="F70" s="8" t="inlineStr">
        <is>
          <t>Entrar como fundadora y abrir su proyecto.</t>
        </is>
      </c>
      <c r="G70" s="8" t="inlineStr">
        <is>
          <t>Mismos datos, tema claro, y solo lo suyo.</t>
        </is>
      </c>
      <c r="H70" s="8" t="inlineStr"/>
      <c r="I70" s="8" t="inlineStr"/>
      <c r="J70" s="8" t="inlineStr"/>
    </row>
    <row r="71" ht="42" customHeight="1">
      <c r="A71" s="5" t="inlineStr">
        <is>
          <t>11.01</t>
        </is>
      </c>
      <c r="B71" s="6" t="inlineStr">
        <is>
          <t>11. Hoja de ruta</t>
        </is>
      </c>
      <c r="C71" s="7" t="inlineStr">
        <is>
          <t>/admin/rutas</t>
        </is>
      </c>
      <c r="D71" s="7" t="inlineStr">
        <is>
          <t>admin@iwl.test</t>
        </is>
      </c>
      <c r="E71" s="8" t="inlineStr">
        <is>
          <t>Crear una plantilla de hoja de ruta</t>
        </is>
      </c>
      <c r="F71" s="8" t="inlineStr">
        <is>
          <t>Crear plantilla, añadirle etapas e hitos.</t>
        </is>
      </c>
      <c r="G71" s="8" t="inlineStr">
        <is>
          <t>Se guarda y queda disponible para instanciar.</t>
        </is>
      </c>
      <c r="H71" s="8" t="inlineStr"/>
      <c r="I71" s="8" t="inlineStr"/>
      <c r="J71" s="8" t="inlineStr"/>
    </row>
    <row r="72" ht="42" customHeight="1">
      <c r="A72" s="5" t="inlineStr">
        <is>
          <t>11.02</t>
        </is>
      </c>
      <c r="B72" s="6" t="inlineStr">
        <is>
          <t>11. Hoja de ruta</t>
        </is>
      </c>
      <c r="C72" s="7" t="inlineStr">
        <is>
          <t>/cartera/&lt;slug&gt;/ruta</t>
        </is>
      </c>
      <c r="D72" s="7" t="inlineStr">
        <is>
          <t>admin@iwl.test</t>
        </is>
      </c>
      <c r="E72" s="8" t="inlineStr">
        <is>
          <t>Diseñar la hoja de ruta de una compañía</t>
        </is>
      </c>
      <c r="F72" s="8" t="inlineStr">
        <is>
          <t>Instanciar la plantilla sobre una compañía.</t>
        </is>
      </c>
      <c r="G72" s="8" t="inlineStr">
        <is>
          <t>Se COPIAN las etapas e hitos. Queda la hoja de ruta montada.</t>
        </is>
      </c>
      <c r="H72" s="8" t="inlineStr"/>
      <c r="I72" s="8" t="inlineStr"/>
      <c r="J72" s="8" t="inlineStr">
        <is>
          <t>RONDA 1 · No lo entiendo/encuentro/no está</t>
        </is>
      </c>
    </row>
    <row r="73" ht="42" customHeight="1">
      <c r="A73" s="5" t="inlineStr">
        <is>
          <t>11.03</t>
        </is>
      </c>
      <c r="B73" s="6" t="inlineStr">
        <is>
          <t>11. Hoja de ruta</t>
        </is>
      </c>
      <c r="C73" s="7" t="inlineStr">
        <is>
          <t>/admin/rutas</t>
        </is>
      </c>
      <c r="D73" s="7" t="inlineStr">
        <is>
          <t>admin@iwl.test</t>
        </is>
      </c>
      <c r="E73" s="8" t="inlineStr">
        <is>
          <t>Editar la plantilla no toca lo que está en marcha</t>
        </is>
      </c>
      <c r="F73" s="8" t="inlineStr">
        <is>
          <t>Cambiar un hito de la plantilla y volver a la hoja de ruta ya instanciada.</t>
        </is>
      </c>
      <c r="G73" s="8" t="inlineStr">
        <is>
          <t>La de la compañía NO cambia. Y al revés tampoco.</t>
        </is>
      </c>
      <c r="H73" s="8" t="inlineStr"/>
      <c r="I73" s="8" t="inlineStr"/>
      <c r="J73" s="8" t="inlineStr"/>
    </row>
    <row r="74" ht="42" customHeight="1">
      <c r="A74" s="5" t="inlineStr">
        <is>
          <t>11.04</t>
        </is>
      </c>
      <c r="B74" s="6" t="inlineStr">
        <is>
          <t>11. Hoja de ruta</t>
        </is>
      </c>
      <c r="C74" s="7" t="inlineStr">
        <is>
          <t>/cartera/&lt;slug&gt;/ruta</t>
        </is>
      </c>
      <c r="D74" s="7" t="inlineStr">
        <is>
          <t>admin@iwl.test</t>
        </is>
      </c>
      <c r="E74" s="8" t="inlineStr">
        <is>
          <t>Crear, editar y borrar una etapa</t>
        </is>
      </c>
      <c r="F74" s="8" t="inlineStr">
        <is>
          <t>Añadir una etapa, renombrarla y borrarla con «Borrar la etapa».</t>
        </is>
      </c>
      <c r="G74" s="8" t="inlineStr">
        <is>
          <t>Las tres funcionan. Al borrar avisa de qué pasa con sus hitos: no se borran, se quedan sueltos.</t>
        </is>
      </c>
      <c r="H74" s="8" t="inlineStr"/>
      <c r="I74" s="8" t="inlineStr"/>
      <c r="J74" s="8" t="inlineStr">
        <is>
          <t>RONDA 1 · No deja borrarla</t>
        </is>
      </c>
    </row>
    <row r="75" ht="42" customHeight="1">
      <c r="A75" s="5" t="inlineStr">
        <is>
          <t>11.05</t>
        </is>
      </c>
      <c r="B75" s="6" t="inlineStr">
        <is>
          <t>11. Hoja de ruta</t>
        </is>
      </c>
      <c r="C75" s="7" t="inlineStr">
        <is>
          <t>/cartera/&lt;slug&gt;/ruta</t>
        </is>
      </c>
      <c r="D75" s="7" t="inlineStr">
        <is>
          <t>admin@iwl.test</t>
        </is>
      </c>
      <c r="E75" s="8" t="inlineStr">
        <is>
          <t>Crear y mover un hito</t>
        </is>
      </c>
      <c r="F75" s="8" t="inlineStr">
        <is>
          <t>Añadir un hito con «Añadir un hito», y moverlo con el desplegable de su fila.</t>
        </is>
      </c>
      <c r="G75" s="8" t="inlineStr">
        <is>
          <t>Cambia de carril y conserva lo demás. Un hito suelto también se puede colocar en una etapa.</t>
        </is>
      </c>
      <c r="H75" s="8" t="inlineStr"/>
      <c r="I75" s="8" t="inlineStr"/>
      <c r="J75" s="8" t="inlineStr">
        <is>
          <t>RONDA 1 · Eso no lo veo tampoco</t>
        </is>
      </c>
    </row>
    <row r="76" ht="42" customHeight="1">
      <c r="A76" s="5" t="inlineStr">
        <is>
          <t>11.06</t>
        </is>
      </c>
      <c r="B76" s="6" t="inlineStr">
        <is>
          <t>11. Hoja de ruta</t>
        </is>
      </c>
      <c r="C76" s="7" t="inlineStr">
        <is>
          <t>/cartera/&lt;slug&gt;/ruta</t>
        </is>
      </c>
      <c r="D76" s="7" t="inlineStr">
        <is>
          <t>admin@iwl.test</t>
        </is>
      </c>
      <c r="E76" s="8" t="inlineStr">
        <is>
          <t>Fijar el estado de entrada</t>
        </is>
      </c>
      <c r="F76" s="8" t="inlineStr">
        <is>
          <t>Marcar en qué punto entró la compañía.</t>
        </is>
      </c>
      <c r="G76" s="8" t="inlineStr">
        <is>
          <t>Queda fijado y sirve de referencia para el avance.</t>
        </is>
      </c>
      <c r="H76" s="8" t="inlineStr"/>
      <c r="I76" s="8" t="inlineStr"/>
      <c r="J76" s="8" t="inlineStr"/>
    </row>
    <row r="77" ht="42" customHeight="1">
      <c r="A77" s="5" t="inlineStr">
        <is>
          <t>11.07</t>
        </is>
      </c>
      <c r="B77" s="6" t="inlineStr">
        <is>
          <t>11. Hoja de ruta</t>
        </is>
      </c>
      <c r="C77" s="7" t="inlineStr">
        <is>
          <t>/proyecto/ruta</t>
        </is>
      </c>
      <c r="D77" s="7" t="inlineStr">
        <is>
          <t>fundadora@marea.test</t>
        </is>
      </c>
      <c r="E77" s="8" t="inlineStr">
        <is>
          <t>La fundadora registra un avance</t>
        </is>
      </c>
      <c r="F77" s="8" t="inlineStr">
        <is>
          <t>Registrar un avance sobre un hito.</t>
        </is>
      </c>
      <c r="G77" s="8" t="inlineStr">
        <is>
          <t>Cae en su carril, con su fecha, y se ve desde IWL.</t>
        </is>
      </c>
      <c r="H77" s="8" t="inlineStr"/>
      <c r="I77" s="8" t="inlineStr"/>
      <c r="J77" s="8" t="inlineStr"/>
    </row>
    <row r="78" ht="42" customHeight="1">
      <c r="A78" s="5" t="inlineStr">
        <is>
          <t>11.08</t>
        </is>
      </c>
      <c r="B78" s="6" t="inlineStr">
        <is>
          <t>11. Hoja de ruta</t>
        </is>
      </c>
      <c r="C78" s="7" t="inlineStr">
        <is>
          <t>/proyecto/ruta</t>
        </is>
      </c>
      <c r="D78" s="7" t="inlineStr">
        <is>
          <t>fundadora@marea.test</t>
        </is>
      </c>
      <c r="E78" s="8" t="inlineStr">
        <is>
          <t>Borrar un avance mal metido</t>
        </is>
      </c>
      <c r="F78" s="8" t="inlineStr">
        <is>
          <t>Borrar el avance que se acaba de registrar.</t>
        </is>
      </c>
      <c r="G78" s="8" t="inlineStr">
        <is>
          <t>Desaparece y el hito vuelve a su estado anterior.</t>
        </is>
      </c>
      <c r="H78" s="8" t="inlineStr"/>
      <c r="I78" s="8" t="inlineStr"/>
      <c r="J78" s="8" t="inlineStr"/>
    </row>
    <row r="79" ht="42" customHeight="1">
      <c r="A79" s="5" t="inlineStr">
        <is>
          <t>11.09</t>
        </is>
      </c>
      <c r="B79" s="6" t="inlineStr">
        <is>
          <t>11. Hoja de ruta</t>
        </is>
      </c>
      <c r="C79" s="7" t="inlineStr">
        <is>
          <t>/cartera/&lt;slug&gt;/ruta</t>
        </is>
      </c>
      <c r="D79" s="7" t="inlineStr">
        <is>
          <t>programa@iwl.test</t>
        </is>
      </c>
      <c r="E79" s="8" t="inlineStr">
        <is>
          <t>Un hito que condiciona el estado invertible</t>
        </is>
      </c>
      <c r="F79" s="8" t="inlineStr">
        <is>
          <t>Marcar un hito como condicionante y dejarlo sin cumplir.</t>
        </is>
      </c>
      <c r="G79" s="8" t="inlineStr">
        <is>
          <t>El semáforo de invertible lo refleja y dice por qué.</t>
        </is>
      </c>
      <c r="H79" s="8" t="inlineStr"/>
      <c r="I79" s="8" t="inlineStr"/>
      <c r="J79" s="8" t="inlineStr">
        <is>
          <t>RONDA 1 · No estoy entiendo del todo bien esto de los hitos, etapas, moverlos, borrarlos, etc. Esto del semáforo tampoco lo entiendo</t>
        </is>
      </c>
    </row>
    <row r="80" ht="42" customHeight="1">
      <c r="A80" s="5" t="inlineStr">
        <is>
          <t>12.01</t>
        </is>
      </c>
      <c r="B80" s="6" t="inlineStr">
        <is>
          <t>12. Programa y Anexo</t>
        </is>
      </c>
      <c r="C80" s="7" t="inlineStr">
        <is>
          <t>/cartera/&lt;slug&gt;/programa</t>
        </is>
      </c>
      <c r="D80" s="7" t="inlineStr">
        <is>
          <t>admin@iwl.test</t>
        </is>
      </c>
      <c r="E80" s="8" t="inlineStr">
        <is>
          <t>Abrir el Anexo donde no hay ninguno</t>
        </is>
      </c>
      <c r="F80" s="8" t="inlineStr">
        <is>
          <t>En una compañía recién creada: Programa y Anexo → «Abrir el Anexo».</t>
        </is>
      </c>
      <c r="G80" s="8" t="inlineStr">
        <is>
          <t>Aparece el Anexo en borrador con sus campos. Antes aquí no había por dónde empezar y eso bloqueaba horas y aportación.</t>
        </is>
      </c>
      <c r="H80" s="8" t="inlineStr"/>
      <c r="I80" s="8" t="inlineStr"/>
      <c r="J80" s="8" t="inlineStr"/>
    </row>
    <row r="81" ht="42" customHeight="1">
      <c r="A81" s="5" t="inlineStr">
        <is>
          <t>12.02</t>
        </is>
      </c>
      <c r="B81" s="6" t="inlineStr">
        <is>
          <t>12. Programa y Anexo</t>
        </is>
      </c>
      <c r="C81" s="7" t="inlineStr">
        <is>
          <t>/cartera/&lt;slug&gt;/programa</t>
        </is>
      </c>
      <c r="D81" s="7" t="inlineStr">
        <is>
          <t>admin@iwl.test</t>
        </is>
      </c>
      <c r="E81" s="8" t="inlineStr">
        <is>
          <t>Rellenar el Anexo</t>
        </is>
      </c>
      <c r="F81" s="8" t="inlineStr">
        <is>
          <t>Poner duración, horas comprometidas y equity. Probar a escribir «7,5 %» en el equity.</t>
        </is>
      </c>
      <c r="G81" s="8" t="inlineStr">
        <is>
          <t>Se guarda, y el porcentaje con coma y signo se admite.</t>
        </is>
      </c>
      <c r="H81" s="8" t="inlineStr"/>
      <c r="I81" s="8" t="inlineStr"/>
      <c r="J81" s="8" t="inlineStr"/>
    </row>
    <row r="82" ht="42" customHeight="1">
      <c r="A82" s="5" t="inlineStr">
        <is>
          <t>12.03</t>
        </is>
      </c>
      <c r="B82" s="6" t="inlineStr">
        <is>
          <t>12. Programa y Anexo</t>
        </is>
      </c>
      <c r="C82" s="7" t="inlineStr">
        <is>
          <t>/cartera/&lt;slug&gt;/programa</t>
        </is>
      </c>
      <c r="D82" s="7" t="inlineStr">
        <is>
          <t>admin@iwl.test</t>
        </is>
      </c>
      <c r="E82" s="8" t="inlineStr">
        <is>
          <t>No se firma un Anexo vacío</t>
        </is>
      </c>
      <c r="F82" s="8" t="inlineStr">
        <is>
          <t>Abrir otro Anexo y pulsar firmar sin rellenar nada.</t>
        </is>
      </c>
      <c r="G82" s="8" t="inlineStr">
        <is>
          <t>No deja: pide al menos la duración y las horas. Lo firmado ya no se edita.</t>
        </is>
      </c>
      <c r="H82" s="8" t="inlineStr"/>
      <c r="I82" s="8" t="inlineStr"/>
      <c r="J82" s="8" t="inlineStr"/>
    </row>
    <row r="83" ht="42" customHeight="1">
      <c r="A83" s="5" t="inlineStr">
        <is>
          <t>12.04</t>
        </is>
      </c>
      <c r="B83" s="6" t="inlineStr">
        <is>
          <t>12. Programa y Anexo</t>
        </is>
      </c>
      <c r="C83" s="7" t="inlineStr">
        <is>
          <t>/cartera/&lt;slug&gt;/programa</t>
        </is>
      </c>
      <c r="D83" s="7" t="inlineStr">
        <is>
          <t>admin@iwl.test</t>
        </is>
      </c>
      <c r="E83" s="8" t="inlineStr">
        <is>
          <t>Firmar el Anexo</t>
        </is>
      </c>
      <c r="F83" s="8" t="inlineStr">
        <is>
          <t>Con la duración y las horas puestas, firmar.</t>
        </is>
      </c>
      <c r="G83" s="8" t="inlineStr">
        <is>
          <t>Pasa a «Firmado el …» y el formulario de edición desaparece. A partir de ahí se abre otra versión, no se edita.</t>
        </is>
      </c>
      <c r="H83" s="8" t="inlineStr"/>
      <c r="I83" s="8" t="inlineStr"/>
      <c r="J83" s="8" t="inlineStr"/>
    </row>
    <row r="84" ht="42" customHeight="1">
      <c r="A84" s="5" t="inlineStr">
        <is>
          <t>12.05</t>
        </is>
      </c>
      <c r="B84" s="6" t="inlineStr">
        <is>
          <t>12. Programa y Anexo</t>
        </is>
      </c>
      <c r="C84" s="7" t="inlineStr">
        <is>
          <t>/cartera/&lt;slug&gt;/programa</t>
        </is>
      </c>
      <c r="D84" s="7" t="inlineStr">
        <is>
          <t>admin@iwl.test</t>
        </is>
      </c>
      <c r="E84" s="8" t="inlineStr">
        <is>
          <t>Los hitos ya acordados del Anexo</t>
        </is>
      </c>
      <c r="F84" s="8" t="inlineStr">
        <is>
          <t>Mirar el bloque de hitos del Anexo y cambiar el estado de uno.</t>
        </is>
      </c>
      <c r="G84" s="8" t="inlineStr">
        <is>
          <t>Cambia y queda registrado.</t>
        </is>
      </c>
      <c r="H84" s="8" t="inlineStr"/>
      <c r="I84" s="8" t="inlineStr"/>
      <c r="J84" s="8" t="inlineStr">
        <is>
          <t>RONDA 1 · A partir de aquí un poco igual, no me sale para impartir horas ni nada, he probado con otra fundadora que tenía más cosas añadidas y tampoco. Creo que hay algo que no hecho/entendido y ya se me ha hecho una bola para continuar</t>
        </is>
      </c>
    </row>
    <row r="85" ht="42" customHeight="1">
      <c r="A85" s="5" t="inlineStr">
        <is>
          <t>12.06</t>
        </is>
      </c>
      <c r="B85" s="6" t="inlineStr">
        <is>
          <t>12. Programa y Anexo</t>
        </is>
      </c>
      <c r="C85" s="7" t="inlineStr">
        <is>
          <t>/cartera/&lt;slug&gt;/programa</t>
        </is>
      </c>
      <c r="D85" s="7" t="inlineStr">
        <is>
          <t>mentor@iwl.test</t>
        </is>
      </c>
      <c r="E85" s="8" t="inlineStr">
        <is>
          <t>Registrar horas</t>
        </is>
      </c>
      <c r="F85" s="8" t="inlineStr">
        <is>
          <t>Imputar horas a una partida del Anexo.</t>
        </is>
      </c>
      <c r="G85" s="8" t="inlineStr">
        <is>
          <t>Se guardan con la tarifa COPIADA en la línea, no referenciada.</t>
        </is>
      </c>
      <c r="H85" s="8" t="inlineStr"/>
      <c r="I85" s="8" t="inlineStr"/>
      <c r="J85" s="8" t="inlineStr">
        <is>
          <t>RONDA 1 · En todos me aparece que el Anexo no está firmado pero tampoco veo el como firmarlo</t>
        </is>
      </c>
    </row>
    <row r="86" ht="42" customHeight="1">
      <c r="A86" s="5" t="inlineStr">
        <is>
          <t>12.07</t>
        </is>
      </c>
      <c r="B86" s="6" t="inlineStr">
        <is>
          <t>12. Programa y Anexo</t>
        </is>
      </c>
      <c r="C86" s="7" t="inlineStr">
        <is>
          <t>/admin/programa</t>
        </is>
      </c>
      <c r="D86" s="7" t="inlineStr">
        <is>
          <t>admin@iwl.test</t>
        </is>
      </c>
      <c r="E86" s="8" t="inlineStr">
        <is>
          <t>Cambiar una tarifa no reescribe el histórico</t>
        </is>
      </c>
      <c r="F86" s="8" t="inlineStr">
        <is>
          <t>Cambiar la tarifa de un perfil y volver al extracto de horas de antes.</t>
        </is>
      </c>
      <c r="G86" s="8" t="inlineStr">
        <is>
          <t>Las líneas viejas conservan la tarifa que tenían. Solo las nuevas usan la nueva.</t>
        </is>
      </c>
      <c r="H86" s="8" t="inlineStr"/>
      <c r="I86" s="8" t="inlineStr"/>
      <c r="J86" s="8" t="inlineStr"/>
    </row>
    <row r="87" ht="42" customHeight="1">
      <c r="A87" s="5" t="inlineStr">
        <is>
          <t>12.08</t>
        </is>
      </c>
      <c r="B87" s="6" t="inlineStr">
        <is>
          <t>12. Programa y Anexo</t>
        </is>
      </c>
      <c r="C87" s="7" t="inlineStr">
        <is>
          <t>/cartera/&lt;slug&gt;/programa</t>
        </is>
      </c>
      <c r="D87" s="7" t="inlineStr">
        <is>
          <t>programa@iwl.test</t>
        </is>
      </c>
      <c r="E87" s="8" t="inlineStr">
        <is>
          <t>Entregado sobre comprometido</t>
        </is>
      </c>
      <c r="F87" s="8" t="inlineStr">
        <is>
          <t>Mirar el compromiso del Anexo frente a lo entregado.</t>
        </is>
      </c>
      <c r="G87" s="8" t="inlineStr">
        <is>
          <t>Las dos cifras cuadran con las horas registradas.</t>
        </is>
      </c>
      <c r="H87" s="8" t="inlineStr"/>
      <c r="I87" s="8" t="inlineStr"/>
      <c r="J87" s="8" t="inlineStr"/>
    </row>
    <row r="88" ht="42" customHeight="1">
      <c r="A88" s="5" t="inlineStr">
        <is>
          <t>12.09</t>
        </is>
      </c>
      <c r="B88" s="6" t="inlineStr">
        <is>
          <t>12. Programa y Anexo</t>
        </is>
      </c>
      <c r="C88" s="7" t="inlineStr">
        <is>
          <t>/proyecto/programa</t>
        </is>
      </c>
      <c r="D88" s="7" t="inlineStr">
        <is>
          <t>fundadora@marea.test</t>
        </is>
      </c>
      <c r="E88" s="8" t="inlineStr">
        <is>
          <t>La fundadora objeta una imputación</t>
        </is>
      </c>
      <c r="F88" s="8" t="inlineStr">
        <is>
          <t>Objetar una línea de horas.</t>
        </is>
      </c>
      <c r="G88" s="8" t="inlineStr">
        <is>
          <t>Queda la objeción anotada y visible para IWL.</t>
        </is>
      </c>
      <c r="H88" s="8" t="inlineStr"/>
      <c r="I88" s="8" t="inlineStr"/>
      <c r="J88" s="8" t="inlineStr"/>
    </row>
    <row r="89" ht="42" customHeight="1">
      <c r="A89" s="5" t="inlineStr">
        <is>
          <t>12.10</t>
        </is>
      </c>
      <c r="B89" s="6" t="inlineStr">
        <is>
          <t>12. Programa y Anexo</t>
        </is>
      </c>
      <c r="C89" s="7" t="inlineStr">
        <is>
          <t>/cartera/&lt;slug&gt;/programa</t>
        </is>
      </c>
      <c r="D89" s="7" t="inlineStr">
        <is>
          <t>admin@iwl.test</t>
        </is>
      </c>
      <c r="E89" s="8" t="inlineStr">
        <is>
          <t>Un Anexo firmado no se edita</t>
        </is>
      </c>
      <c r="F89" s="8" t="inlineStr">
        <is>
          <t>Intentar cambiar una partida de un Anexo ya firmado.</t>
        </is>
      </c>
      <c r="G89" s="8" t="inlineStr">
        <is>
          <t>No deja. Lo firmado está congelado.</t>
        </is>
      </c>
      <c r="H89" s="8" t="inlineStr"/>
      <c r="I89" s="8" t="inlineStr"/>
      <c r="J89" s="8" t="inlineStr"/>
    </row>
    <row r="90" ht="42" customHeight="1">
      <c r="A90" s="5" t="inlineStr">
        <is>
          <t>13.01</t>
        </is>
      </c>
      <c r="B90" s="6" t="inlineStr">
        <is>
          <t>13. Aportación de IWL</t>
        </is>
      </c>
      <c r="C90" s="7" t="inlineStr">
        <is>
          <t>/cartera/&lt;slug&gt;/aportacion</t>
        </is>
      </c>
      <c r="D90" s="7" t="inlineStr">
        <is>
          <t>mentor@iwl.test</t>
        </is>
      </c>
      <c r="E90" s="8" t="inlineStr">
        <is>
          <t>Registrar una aportación</t>
        </is>
      </c>
      <c r="F90" s="8" t="inlineStr">
        <is>
          <t>Registrar una sesión o una aportación con sus horas.</t>
        </is>
      </c>
      <c r="G90" s="8" t="inlineStr">
        <is>
          <t>Se guarda y suma en horas y valor.</t>
        </is>
      </c>
      <c r="H90" s="8" t="inlineStr"/>
      <c r="I90" s="8" t="inlineStr"/>
      <c r="J90" s="8" t="inlineStr">
        <is>
          <t>RONDA 1 · Igual, anexo no firmado así que no puedo hacer nada, he intentado seguir creando un nuevo fundador con todo firmado de nuevo y nada, me sigue diciendo anexo no firmado</t>
        </is>
      </c>
    </row>
    <row r="91" ht="42" customHeight="1">
      <c r="A91" s="5" t="inlineStr">
        <is>
          <t>13.02</t>
        </is>
      </c>
      <c r="B91" s="6" t="inlineStr">
        <is>
          <t>13. Aportación de IWL</t>
        </is>
      </c>
      <c r="C91" s="7" t="inlineStr">
        <is>
          <t>/cartera/&lt;slug&gt;/aportacion</t>
        </is>
      </c>
      <c r="D91" s="7" t="inlineStr">
        <is>
          <t>programa@iwl.test</t>
        </is>
      </c>
      <c r="E91" s="8" t="inlineStr">
        <is>
          <t>Quién ha aportado</t>
        </is>
      </c>
      <c r="F91" s="8" t="inlineStr">
        <is>
          <t>Mirar el desglose por persona.</t>
        </is>
      </c>
      <c r="G91" s="8" t="inlineStr">
        <is>
          <t>Cuadra con lo registrado, con nombre y horas.</t>
        </is>
      </c>
      <c r="H91" s="8" t="inlineStr"/>
      <c r="I91" s="8" t="inlineStr"/>
      <c r="J91" s="8" t="inlineStr"/>
    </row>
    <row r="92" ht="42" customHeight="1">
      <c r="A92" s="5" t="inlineStr">
        <is>
          <t>13.03</t>
        </is>
      </c>
      <c r="B92" s="6" t="inlineStr">
        <is>
          <t>13. Aportación de IWL</t>
        </is>
      </c>
      <c r="C92" s="7" t="inlineStr">
        <is>
          <t>/proyecto/aportacion</t>
        </is>
      </c>
      <c r="D92" s="7" t="inlineStr">
        <is>
          <t>fundadora@marea.test</t>
        </is>
      </c>
      <c r="E92" s="8" t="inlineStr">
        <is>
          <t>La fundadora ve lo que ha recibido</t>
        </is>
      </c>
      <c r="F92" s="8" t="inlineStr">
        <is>
          <t>Abrir Aportación de IWL como fundadora.</t>
        </is>
      </c>
      <c r="G92" s="8" t="inlineStr">
        <is>
          <t>Ve horas y valor de mercado de lo que ha recibido.</t>
        </is>
      </c>
      <c r="H92" s="8" t="inlineStr"/>
      <c r="I92" s="8" t="inlineStr"/>
      <c r="J92" s="8" t="inlineStr"/>
    </row>
    <row r="93" ht="42" customHeight="1">
      <c r="A93" s="5" t="inlineStr">
        <is>
          <t>14.01</t>
        </is>
      </c>
      <c r="B93" s="6" t="inlineStr">
        <is>
          <t>14. Due diligence técnico</t>
        </is>
      </c>
      <c r="C93" s="7" t="inlineStr">
        <is>
          <t>/cartera/&lt;slug&gt;/tecnico</t>
        </is>
      </c>
      <c r="D93" s="7" t="inlineStr">
        <is>
          <t>revisor@niage.test</t>
        </is>
      </c>
      <c r="E93" s="8" t="inlineStr">
        <is>
          <t>Abrir una evaluación donde no había ninguna</t>
        </is>
      </c>
      <c r="F93" s="8" t="inlineStr">
        <is>
          <t>En una compañía recién creada: Due diligence técnico → «Abrir la evaluación técnica».</t>
        </is>
      </c>
      <c r="G93" s="8" t="inlineStr">
        <is>
          <t>Aparece el scorecard con el aviso «En borrador». Antes aquí no había por dónde empezar.</t>
        </is>
      </c>
      <c r="H93" s="8" t="inlineStr"/>
      <c r="I93" s="8" t="inlineStr"/>
      <c r="J93" s="8" t="inlineStr"/>
    </row>
    <row r="94" ht="42" customHeight="1">
      <c r="A94" s="5" t="inlineStr">
        <is>
          <t>14.02</t>
        </is>
      </c>
      <c r="B94" s="6" t="inlineStr">
        <is>
          <t>14. Due diligence técnico</t>
        </is>
      </c>
      <c r="C94" s="7" t="inlineStr">
        <is>
          <t>/proyecto/tecnico</t>
        </is>
      </c>
      <c r="D94" s="7" t="inlineStr">
        <is>
          <t>la fundadora</t>
        </is>
      </c>
      <c r="E94" s="8" t="inlineStr">
        <is>
          <t>La compañía NO ve el borrador</t>
        </is>
      </c>
      <c r="F94" s="8" t="inlineStr">
        <is>
          <t>Con la evaluación en borrador, mirar la sección como fundadora.</t>
        </is>
      </c>
      <c r="G94" s="8" t="inlineStr">
        <is>
          <t>Sigue diciendo que no hay evaluación publicada. El borrador es solo de quien evalúa.</t>
        </is>
      </c>
      <c r="H94" s="8" t="inlineStr"/>
      <c r="I94" s="8" t="inlineStr"/>
      <c r="J94" s="8" t="inlineStr"/>
    </row>
    <row r="95" ht="42" customHeight="1">
      <c r="A95" s="5" t="inlineStr">
        <is>
          <t>14.03</t>
        </is>
      </c>
      <c r="B95" s="6" t="inlineStr">
        <is>
          <t>14. Due diligence técnico</t>
        </is>
      </c>
      <c r="C95" s="7" t="inlineStr">
        <is>
          <t>/cartera/&lt;slug&gt;/tecnico</t>
        </is>
      </c>
      <c r="D95" s="7" t="inlineStr">
        <is>
          <t>revisor@niage.test</t>
        </is>
      </c>
      <c r="E95" s="8" t="inlineStr">
        <is>
          <t>Publicar la evaluación</t>
        </is>
      </c>
      <c r="F95" s="8" t="inlineStr">
        <is>
          <t>Puntuar al menos una dimensión, escribir el resumen y publicar.</t>
        </is>
      </c>
      <c r="G95" s="8" t="inlineStr">
        <is>
          <t>Se publica y la compañía ya la ve. Sin nada puntuado NO deja publicar.</t>
        </is>
      </c>
      <c r="H95" s="8" t="inlineStr"/>
      <c r="I95" s="8" t="inlineStr"/>
      <c r="J95" s="8" t="inlineStr"/>
    </row>
    <row r="96" ht="42" customHeight="1">
      <c r="A96" s="5" t="inlineStr">
        <is>
          <t>14.04</t>
        </is>
      </c>
      <c r="B96" s="6" t="inlineStr">
        <is>
          <t>14. Due diligence técnico</t>
        </is>
      </c>
      <c r="C96" s="7" t="inlineStr">
        <is>
          <t>/cartera/&lt;slug&gt;/tecnico</t>
        </is>
      </c>
      <c r="D96" s="7" t="inlineStr">
        <is>
          <t>revisor@niage.test</t>
        </is>
      </c>
      <c r="E96" s="8" t="inlineStr">
        <is>
          <t>Puntuar una dimensión</t>
        </is>
      </c>
      <c r="F96" s="8" t="inlineStr">
        <is>
          <t>Ajustar puntuación de una dimensión con su evidencia. Guardar.</t>
        </is>
      </c>
      <c r="G96" s="8" t="inlineStr">
        <is>
          <t>Se guarda y el score técnico se mueve.</t>
        </is>
      </c>
      <c r="H96" s="8" t="inlineStr"/>
      <c r="I96" s="8" t="inlineStr"/>
      <c r="J96" s="8" t="inlineStr"/>
    </row>
    <row r="97" ht="42" customHeight="1">
      <c r="A97" s="5" t="inlineStr">
        <is>
          <t>14.05</t>
        </is>
      </c>
      <c r="B97" s="6" t="inlineStr">
        <is>
          <t>14. Due diligence técnico</t>
        </is>
      </c>
      <c r="C97" s="7" t="inlineStr">
        <is>
          <t>/cartera/&lt;slug&gt;/tecnico</t>
        </is>
      </c>
      <c r="D97" s="7" t="inlineStr">
        <is>
          <t>revisor@niage.test</t>
        </is>
      </c>
      <c r="E97" s="8" t="inlineStr">
        <is>
          <t>Una puntuación sin evidencia no se guarda</t>
        </is>
      </c>
      <c r="F97" s="8" t="inlineStr">
        <is>
          <t>Poner un nivel y dejar la evidencia en una palabra. Guardar.</t>
        </is>
      </c>
      <c r="G97" s="8" t="inlineStr">
        <is>
          <t>No se guarda y lo dice: una puntuación sin evidencia no es una evaluación.</t>
        </is>
      </c>
      <c r="H97" s="8" t="inlineStr"/>
      <c r="I97" s="8" t="inlineStr"/>
      <c r="J97" s="8" t="inlineStr"/>
    </row>
    <row r="98" ht="42" customHeight="1">
      <c r="A98" s="5" t="inlineStr">
        <is>
          <t>14.06</t>
        </is>
      </c>
      <c r="B98" s="6" t="inlineStr">
        <is>
          <t>14. Due diligence técnico</t>
        </is>
      </c>
      <c r="C98" s="7" t="inlineStr">
        <is>
          <t>/proyecto/tecnico</t>
        </is>
      </c>
      <c r="D98" s="7" t="inlineStr">
        <is>
          <t>fundadora@marea.test</t>
        </is>
      </c>
      <c r="E98" s="8" t="inlineStr">
        <is>
          <t>Una fundadora no se puntúa a sí misma</t>
        </is>
      </c>
      <c r="F98" s="8" t="inlineStr">
        <is>
          <t>Buscar como fundadora alguna forma de ajustar la puntuación.</t>
        </is>
      </c>
      <c r="G98" s="8" t="inlineStr">
        <is>
          <t>No existe. Y si se forzara, la base lo rechaza. Es criterio de aceptación.</t>
        </is>
      </c>
      <c r="H98" s="8" t="inlineStr"/>
      <c r="I98" s="8" t="inlineStr"/>
      <c r="J98" s="8" t="inlineStr"/>
    </row>
    <row r="99" ht="42" customHeight="1">
      <c r="A99" s="5" t="inlineStr">
        <is>
          <t>14.07</t>
        </is>
      </c>
      <c r="B99" s="6" t="inlineStr">
        <is>
          <t>14. Due diligence técnico</t>
        </is>
      </c>
      <c r="C99" s="7" t="inlineStr">
        <is>
          <t>/cartera/&lt;slug&gt;/tecnico</t>
        </is>
      </c>
      <c r="D99" s="7" t="inlineStr">
        <is>
          <t>revisor@niage.test</t>
        </is>
      </c>
      <c r="E99" s="8" t="inlineStr">
        <is>
          <t>Registrar un hallazgo</t>
        </is>
      </c>
      <c r="F99" s="8" t="inlineStr">
        <is>
          <t>Registrar un hallazgo con su gravedad.</t>
        </is>
      </c>
      <c r="G99" s="8" t="inlineStr">
        <is>
          <t>Aparece en la lista de abiertos.</t>
        </is>
      </c>
      <c r="H99" s="8" t="inlineStr"/>
      <c r="I99" s="8" t="inlineStr"/>
      <c r="J99" s="8" t="inlineStr"/>
    </row>
    <row r="100" ht="42" customHeight="1">
      <c r="A100" s="5" t="inlineStr">
        <is>
          <t>14.08</t>
        </is>
      </c>
      <c r="B100" s="6" t="inlineStr">
        <is>
          <t>14. Due diligence técnico</t>
        </is>
      </c>
      <c r="C100" s="7" t="inlineStr">
        <is>
          <t>/cartera/&lt;slug&gt;/tecnico</t>
        </is>
      </c>
      <c r="D100" s="7" t="inlineStr">
        <is>
          <t>revisor@niage.test</t>
        </is>
      </c>
      <c r="E100" s="8" t="inlineStr">
        <is>
          <t>Cerrar un hallazgo</t>
        </is>
      </c>
      <c r="F100" s="8" t="inlineStr">
        <is>
          <t>Cambiar el estado de un hallazgo a cerrado.</t>
        </is>
      </c>
      <c r="G100" s="8" t="inlineStr">
        <is>
          <t>Sale de los abiertos y la cuenta de arriba baja.</t>
        </is>
      </c>
      <c r="H100" s="8" t="inlineStr"/>
      <c r="I100" s="8" t="inlineStr"/>
      <c r="J100" s="8" t="inlineStr"/>
    </row>
    <row r="101" ht="42" customHeight="1">
      <c r="A101" s="5" t="inlineStr">
        <is>
          <t>14.09</t>
        </is>
      </c>
      <c r="B101" s="6" t="inlineStr">
        <is>
          <t>14. Due diligence técnico</t>
        </is>
      </c>
      <c r="C101" s="7" t="inlineStr">
        <is>
          <t>/cartera/&lt;slug&gt;/tecnico</t>
        </is>
      </c>
      <c r="D101" s="7" t="inlineStr">
        <is>
          <t>revisor@niage.test</t>
        </is>
      </c>
      <c r="E101" s="8" t="inlineStr">
        <is>
          <t>Crear un punto de plan</t>
        </is>
      </c>
      <c r="F101" s="8" t="inlineStr">
        <is>
          <t>Crear un punto del plan de acción a partir de un hallazgo.</t>
        </is>
      </c>
      <c r="G101" s="8" t="inlineStr">
        <is>
          <t>Queda enlazado y con su estado.</t>
        </is>
      </c>
      <c r="H101" s="8" t="inlineStr"/>
      <c r="I101" s="8" t="inlineStr"/>
      <c r="J101" s="8" t="inlineStr"/>
    </row>
    <row r="102" ht="42" customHeight="1">
      <c r="A102" s="5" t="inlineStr">
        <is>
          <t>14.10</t>
        </is>
      </c>
      <c r="B102" s="6" t="inlineStr">
        <is>
          <t>14. Due diligence técnico</t>
        </is>
      </c>
      <c r="C102" s="7" t="inlineStr">
        <is>
          <t>/proyecto/tecnico</t>
        </is>
      </c>
      <c r="D102" s="7" t="inlineStr">
        <is>
          <t>fundadora@marea.test</t>
        </is>
      </c>
      <c r="E102" s="8" t="inlineStr">
        <is>
          <t>Responder el cuestionario</t>
        </is>
      </c>
      <c r="F102" s="8" t="inlineStr">
        <is>
          <t>Responder las preguntas del cuestionario técnico.</t>
        </is>
      </c>
      <c r="G102" s="8" t="inlineStr">
        <is>
          <t>Se guardan las respuestas y el revisor las ve.</t>
        </is>
      </c>
      <c r="H102" s="8" t="inlineStr"/>
      <c r="I102" s="8" t="inlineStr"/>
      <c r="J102" s="8" t="inlineStr"/>
    </row>
    <row r="103" ht="42" customHeight="1">
      <c r="A103" s="5" t="inlineStr">
        <is>
          <t>14.11</t>
        </is>
      </c>
      <c r="B103" s="6" t="inlineStr">
        <is>
          <t>14. Due diligence técnico</t>
        </is>
      </c>
      <c r="C103" s="7" t="inlineStr">
        <is>
          <t>/cartera/&lt;slug&gt;/tecnico</t>
        </is>
      </c>
      <c r="D103" s="7" t="inlineStr">
        <is>
          <t>programa@iwl.test</t>
        </is>
      </c>
      <c r="E103" s="8" t="inlineStr">
        <is>
          <t>El score se reparte sobre lo evaluado</t>
        </is>
      </c>
      <c r="F103" s="8" t="inlineStr">
        <is>
          <t>Evaluar solo tres dimensiones de las que haya y mirar el score.</t>
        </is>
      </c>
      <c r="G103" s="8" t="inlineStr">
        <is>
          <t>Se calcula sobre esas tres. Las no evaluadas NO cuentan como cero.</t>
        </is>
      </c>
      <c r="H103" s="8" t="inlineStr"/>
      <c r="I103" s="8" t="inlineStr"/>
      <c r="J103" s="8" t="inlineStr"/>
    </row>
    <row r="104" ht="42" customHeight="1">
      <c r="A104" s="5" t="inlineStr">
        <is>
          <t>14.12</t>
        </is>
      </c>
      <c r="B104" s="6" t="inlineStr">
        <is>
          <t>14. Due diligence técnico</t>
        </is>
      </c>
      <c r="C104" s="7" t="inlineStr">
        <is>
          <t>/cartera/&lt;slug&gt;/tecnico</t>
        </is>
      </c>
      <c r="D104" s="7" t="inlineStr">
        <is>
          <t>revisor2@niage.test</t>
        </is>
      </c>
      <c r="E104" s="8" t="inlineStr">
        <is>
          <t>Un revisor solo ve sus compañías</t>
        </is>
      </c>
      <c r="F104" s="8" t="inlineStr">
        <is>
          <t>Entrar como revisor2 y escribir el slug de una compañía que no lleva.</t>
        </is>
      </c>
      <c r="G104" s="8" t="inlineStr">
        <is>
          <t>No entra.</t>
        </is>
      </c>
      <c r="H104" s="8" t="inlineStr"/>
      <c r="I104" s="8" t="inlineStr"/>
      <c r="J104" s="8" t="inlineStr"/>
    </row>
    <row r="105" ht="42" customHeight="1">
      <c r="A105" s="5" t="inlineStr">
        <is>
          <t>15.01</t>
        </is>
      </c>
      <c r="B105" s="6" t="inlineStr">
        <is>
          <t>15. Due diligence general</t>
        </is>
      </c>
      <c r="C105" s="7" t="inlineStr">
        <is>
          <t>/cartera/&lt;slug&gt;/diligencia</t>
        </is>
      </c>
      <c r="D105" s="7" t="inlineStr">
        <is>
          <t>programa@iwl.test</t>
        </is>
      </c>
      <c r="E105" s="8" t="inlineStr">
        <is>
          <t>La checklist sale instanciada</t>
        </is>
      </c>
      <c r="F105" s="8" t="inlineStr">
        <is>
          <t>Abrir el due diligence general de una compañía.</t>
        </is>
      </c>
      <c r="G105" s="8" t="inlineStr">
        <is>
          <t>Tiene su propia copia de la checklist, no la plantilla compartida.</t>
        </is>
      </c>
      <c r="H105" s="8" t="inlineStr"/>
      <c r="I105" s="8" t="inlineStr"/>
      <c r="J105" s="8" t="inlineStr"/>
    </row>
    <row r="106" ht="42" customHeight="1">
      <c r="A106" s="5" t="inlineStr">
        <is>
          <t>15.02</t>
        </is>
      </c>
      <c r="B106" s="6" t="inlineStr">
        <is>
          <t>15. Due diligence general</t>
        </is>
      </c>
      <c r="C106" s="7" t="inlineStr">
        <is>
          <t>/cartera/&lt;slug&gt;/diligencia</t>
        </is>
      </c>
      <c r="D106" s="7" t="inlineStr">
        <is>
          <t>programa@iwl.test</t>
        </is>
      </c>
      <c r="E106" s="8" t="inlineStr">
        <is>
          <t>Cambiar el estado de un punto</t>
        </is>
      </c>
      <c r="F106" s="8" t="inlineStr">
        <is>
          <t>Marcar un punto como entregado o como no aplica.</t>
        </is>
      </c>
      <c r="G106" s="8" t="inlineStr">
        <is>
          <t>Cambia y la cuenta de pendientes se mueve.</t>
        </is>
      </c>
      <c r="H106" s="8" t="inlineStr"/>
      <c r="I106" s="8" t="inlineStr"/>
      <c r="J106" s="8" t="inlineStr"/>
    </row>
    <row r="107" ht="42" customHeight="1">
      <c r="A107" s="5" t="inlineStr">
        <is>
          <t>15.03</t>
        </is>
      </c>
      <c r="B107" s="6" t="inlineStr">
        <is>
          <t>15. Due diligence general</t>
        </is>
      </c>
      <c r="C107" s="7" t="inlineStr">
        <is>
          <t>/proyecto/diligencia</t>
        </is>
      </c>
      <c r="D107" s="7" t="inlineStr">
        <is>
          <t>fundadora@marea.test</t>
        </is>
      </c>
      <c r="E107" s="8" t="inlineStr">
        <is>
          <t>Subir desde la propia línea</t>
        </is>
      </c>
      <c r="F107" s="8" t="inlineStr">
        <is>
          <t>En la línea de un punto, pulsar «Subir» y elegir el fichero. Sin bajar al final de la página.</t>
        </is>
      </c>
      <c r="G107" s="8" t="inlineStr">
        <is>
          <t>Se sube ahí mismo, sin volver a elegir área ni punto, y el panel se cierra con Hecho.</t>
        </is>
      </c>
      <c r="H107" s="8" t="inlineStr"/>
      <c r="I107" s="8" t="inlineStr"/>
      <c r="J107" s="8" t="inlineStr"/>
    </row>
    <row r="108" ht="42" customHeight="1">
      <c r="A108" s="5" t="inlineStr">
        <is>
          <t>15.04</t>
        </is>
      </c>
      <c r="B108" s="6" t="inlineStr">
        <is>
          <t>15. Due diligence general</t>
        </is>
      </c>
      <c r="C108" s="7" t="inlineStr">
        <is>
          <t>/proyecto/diligencia</t>
        </is>
      </c>
      <c r="D108" s="7" t="inlineStr">
        <is>
          <t>fundadora@marea.test</t>
        </is>
      </c>
      <c r="E108" s="8" t="inlineStr">
        <is>
          <t>Al subir, el punto pasa a EN REVISIÓN</t>
        </is>
      </c>
      <c r="F108" s="8" t="inlineStr">
        <is>
          <t>Mirar el estado del punto justo después de subir.</t>
        </is>
      </c>
      <c r="G108" s="8" t="inlineStr">
        <is>
          <t>Dice «En revisión», no «Entregado». Y donde había un desplegable ahora hay una etiqueta.</t>
        </is>
      </c>
      <c r="H108" s="8" t="inlineStr"/>
      <c r="I108" s="8" t="inlineStr"/>
      <c r="J108" s="8" t="inlineStr"/>
    </row>
    <row r="109" ht="42" customHeight="1">
      <c r="A109" s="5" t="inlineStr">
        <is>
          <t>15.05</t>
        </is>
      </c>
      <c r="B109" s="6" t="inlineStr">
        <is>
          <t>15. Due diligence general</t>
        </is>
      </c>
      <c r="C109" s="7" t="inlineStr">
        <is>
          <t>/proyecto/diligencia</t>
        </is>
      </c>
      <c r="D109" s="7" t="inlineStr">
        <is>
          <t>fundadora@marea.test</t>
        </is>
      </c>
      <c r="E109" s="8" t="inlineStr">
        <is>
          <t>La compañía no saca un punto de revisión</t>
        </is>
      </c>
      <c r="F109" s="8" t="inlineStr">
        <is>
          <t>Intentar devolver a pendiente un punto que ya está en revisión.</t>
        </is>
      </c>
      <c r="G109" s="8" t="inlineStr">
        <is>
          <t>No puede: no hay control. Y si se forzara, la base lo rechaza.</t>
        </is>
      </c>
      <c r="H109" s="8" t="inlineStr"/>
      <c r="I109" s="8" t="inlineStr"/>
      <c r="J109" s="8" t="inlineStr"/>
    </row>
    <row r="110" ht="42" customHeight="1">
      <c r="A110" s="5" t="inlineStr">
        <is>
          <t>15.06</t>
        </is>
      </c>
      <c r="B110" s="6" t="inlineStr">
        <is>
          <t>15. Due diligence general</t>
        </is>
      </c>
      <c r="C110" s="7" t="inlineStr">
        <is>
          <t>/cartera/&lt;slug&gt;/diligencia</t>
        </is>
      </c>
      <c r="D110" s="7" t="inlineStr">
        <is>
          <t>revisor@niage.test</t>
        </is>
      </c>
      <c r="E110" s="8" t="inlineStr">
        <is>
          <t>IWL sí lo mueve</t>
        </is>
      </c>
      <c r="F110" s="8" t="inlineStr">
        <is>
          <t>Sobre ese mismo punto, pasarlo a validado.</t>
        </is>
      </c>
      <c r="G110" s="8" t="inlineStr">
        <is>
          <t>Cambia. El estado a partir de revisión es una valoración, y las valoraciones son de IWL.</t>
        </is>
      </c>
      <c r="H110" s="8" t="inlineStr"/>
      <c r="I110" s="8" t="inlineStr"/>
      <c r="J110" s="8" t="inlineStr"/>
    </row>
    <row r="111" ht="42" customHeight="1">
      <c r="A111" s="5" t="inlineStr">
        <is>
          <t>15.07</t>
        </is>
      </c>
      <c r="B111" s="6" t="inlineStr">
        <is>
          <t>15. Due diligence general</t>
        </is>
      </c>
      <c r="C111" s="7" t="inlineStr">
        <is>
          <t>/cartera/&lt;slug&gt;/diligencia</t>
        </is>
      </c>
      <c r="D111" s="7" t="inlineStr">
        <is>
          <t>programa@iwl.test</t>
        </is>
      </c>
      <c r="E111" s="8" t="inlineStr">
        <is>
          <t>Registrar un hallazgo general</t>
        </is>
      </c>
      <c r="F111" s="8" t="inlineStr">
        <is>
          <t>Registrar un hallazgo del due diligence general.</t>
        </is>
      </c>
      <c r="G111" s="8" t="inlineStr">
        <is>
          <t>Queda con su gravedad y se ve en la lista.</t>
        </is>
      </c>
      <c r="H111" s="8" t="inlineStr"/>
      <c r="I111" s="8" t="inlineStr"/>
      <c r="J111" s="8" t="inlineStr"/>
    </row>
    <row r="112" ht="42" customHeight="1">
      <c r="A112" s="5" t="inlineStr">
        <is>
          <t>15.08</t>
        </is>
      </c>
      <c r="B112" s="6" t="inlineStr">
        <is>
          <t>15. Due diligence general</t>
        </is>
      </c>
      <c r="C112" s="7" t="inlineStr">
        <is>
          <t>/cartera/&lt;slug&gt;/diligencia</t>
        </is>
      </c>
      <c r="D112" s="7" t="inlineStr">
        <is>
          <t>programa@iwl.test</t>
        </is>
      </c>
      <c r="E112" s="8" t="inlineStr">
        <is>
          <t>Un documento con caducidad</t>
        </is>
      </c>
      <c r="F112" s="8" t="inlineStr">
        <is>
          <t>Subir un documento poniéndole fecha de caducidad.</t>
        </is>
      </c>
      <c r="G112" s="8" t="inlineStr">
        <is>
          <t>Se guarda y avisa cuando esté caducado.</t>
        </is>
      </c>
      <c r="H112" s="8" t="inlineStr"/>
      <c r="I112" s="8" t="inlineStr"/>
      <c r="J112" s="8" t="inlineStr"/>
    </row>
    <row r="113" ht="42" customHeight="1">
      <c r="A113" s="5" t="inlineStr">
        <is>
          <t>16.01</t>
        </is>
      </c>
      <c r="B113" s="6" t="inlineStr">
        <is>
          <t>16. Business plan</t>
        </is>
      </c>
      <c r="C113" s="7" t="inlineStr">
        <is>
          <t>/proyecto/plan</t>
        </is>
      </c>
      <c r="D113" s="7" t="inlineStr">
        <is>
          <t>fundadora@marea.test</t>
        </is>
      </c>
      <c r="E113" s="8" t="inlineStr">
        <is>
          <t>Adjuntar el business plan ya escrito</t>
        </is>
      </c>
      <c r="F113" s="8" t="inlineStr">
        <is>
          <t>Arriba del todo: «Adjuntar el business plan», elegir un PDF.</t>
        </is>
      </c>
      <c r="G113" s="8" t="inlineStr">
        <is>
          <t>Queda adjunto con su fecha y se abre con un clic. NO rellena las secciones: eso sigue siendo a mano.</t>
        </is>
      </c>
      <c r="H113" s="8" t="inlineStr"/>
      <c r="I113" s="8" t="inlineStr"/>
      <c r="J113" s="8" t="inlineStr"/>
    </row>
    <row r="114" ht="42" customHeight="1">
      <c r="A114" s="5" t="inlineStr">
        <is>
          <t>16.02</t>
        </is>
      </c>
      <c r="B114" s="6" t="inlineStr">
        <is>
          <t>16. Business plan</t>
        </is>
      </c>
      <c r="C114" s="7" t="inlineStr">
        <is>
          <t>/proyecto/plan</t>
        </is>
      </c>
      <c r="D114" s="7" t="inlineStr">
        <is>
          <t>fundadora@marea.test</t>
        </is>
      </c>
      <c r="E114" s="8" t="inlineStr">
        <is>
          <t>Subir otra versión reemplaza</t>
        </is>
      </c>
      <c r="F114" s="8" t="inlineStr">
        <is>
          <t>Adjuntar un segundo fichero.</t>
        </is>
      </c>
      <c r="G114" s="8" t="inlineStr">
        <is>
          <t>Sustituye al anterior. «El business plan» es singular, no una pila.</t>
        </is>
      </c>
      <c r="H114" s="8" t="inlineStr"/>
      <c r="I114" s="8" t="inlineStr"/>
      <c r="J114" s="8" t="inlineStr"/>
    </row>
    <row r="115" ht="42" customHeight="1">
      <c r="A115" s="5" t="inlineStr">
        <is>
          <t>16.03</t>
        </is>
      </c>
      <c r="B115" s="6" t="inlineStr">
        <is>
          <t>16. Business plan</t>
        </is>
      </c>
      <c r="C115" s="7" t="inlineStr">
        <is>
          <t>/proyecto/plan</t>
        </is>
      </c>
      <c r="D115" s="7" t="inlineStr">
        <is>
          <t>fundadora@marea.test</t>
        </is>
      </c>
      <c r="E115" s="8" t="inlineStr">
        <is>
          <t>Escribir una sección</t>
        </is>
      </c>
      <c r="F115" s="8" t="inlineStr">
        <is>
          <t>Rellenar una sección del business plan y guardar.</t>
        </is>
      </c>
      <c r="G115" s="8" t="inlineStr">
        <is>
          <t>Se guarda y se ve desde IWL.</t>
        </is>
      </c>
      <c r="H115" s="8" t="inlineStr"/>
      <c r="I115" s="8" t="inlineStr"/>
      <c r="J115" s="8" t="inlineStr"/>
    </row>
    <row r="116" ht="42" customHeight="1">
      <c r="A116" s="5" t="inlineStr">
        <is>
          <t>16.04</t>
        </is>
      </c>
      <c r="B116" s="6" t="inlineStr">
        <is>
          <t>16. Business plan</t>
        </is>
      </c>
      <c r="C116" s="7" t="inlineStr">
        <is>
          <t>/proyecto/plan</t>
        </is>
      </c>
      <c r="D116" s="7" t="inlineStr">
        <is>
          <t>fundadora@marea.test</t>
        </is>
      </c>
      <c r="E116" s="8" t="inlineStr">
        <is>
          <t>Hipótesis</t>
        </is>
      </c>
      <c r="F116" s="8" t="inlineStr">
        <is>
          <t>Añadir una hipótesis con cómo se va a validar.</t>
        </is>
      </c>
      <c r="G116" s="8" t="inlineStr">
        <is>
          <t>Queda registrada.</t>
        </is>
      </c>
      <c r="H116" s="8" t="inlineStr"/>
      <c r="I116" s="8" t="inlineStr"/>
      <c r="J116" s="8" t="inlineStr"/>
    </row>
    <row r="117" ht="42" customHeight="1">
      <c r="A117" s="5" t="inlineStr">
        <is>
          <t>16.05</t>
        </is>
      </c>
      <c r="B117" s="6" t="inlineStr">
        <is>
          <t>16. Business plan</t>
        </is>
      </c>
      <c r="C117" s="7" t="inlineStr">
        <is>
          <t>/cartera/&lt;slug&gt;/plan</t>
        </is>
      </c>
      <c r="D117" s="7" t="inlineStr">
        <is>
          <t>mentor@iwl.test</t>
        </is>
      </c>
      <c r="E117" s="8" t="inlineStr">
        <is>
          <t>Comentar una sección</t>
        </is>
      </c>
      <c r="F117" s="8" t="inlineStr">
        <is>
          <t>Dejar un comentario sobre una sección.</t>
        </is>
      </c>
      <c r="G117" s="8" t="inlineStr">
        <is>
          <t>La fundadora lo ve, con quién lo escribió.</t>
        </is>
      </c>
      <c r="H117" s="8" t="inlineStr"/>
      <c r="I117" s="8" t="inlineStr"/>
      <c r="J117" s="8" t="inlineStr"/>
    </row>
    <row r="118" ht="42" customHeight="1">
      <c r="A118" s="5" t="inlineStr">
        <is>
          <t>16.06</t>
        </is>
      </c>
      <c r="B118" s="6" t="inlineStr">
        <is>
          <t>16. Business plan</t>
        </is>
      </c>
      <c r="C118" s="7" t="inlineStr">
        <is>
          <t>/cartera/&lt;slug&gt;/plan</t>
        </is>
      </c>
      <c r="D118" s="7" t="inlineStr">
        <is>
          <t>admin@iwl.test</t>
        </is>
      </c>
      <c r="E118" s="8" t="inlineStr">
        <is>
          <t>La plantilla se copia al instanciar</t>
        </is>
      </c>
      <c r="F118" s="8" t="inlineStr">
        <is>
          <t>Cambiar la plantilla del business plan y mirar uno ya en marcha.</t>
        </is>
      </c>
      <c r="G118" s="8" t="inlineStr">
        <is>
          <t>El que está en marcha NO cambia.</t>
        </is>
      </c>
      <c r="H118" s="8" t="inlineStr"/>
      <c r="I118" s="8" t="inlineStr"/>
      <c r="J118" s="8" t="inlineStr"/>
    </row>
    <row r="119" ht="42" customHeight="1">
      <c r="A119" s="5" t="inlineStr">
        <is>
          <t>17.01</t>
        </is>
      </c>
      <c r="B119" s="6" t="inlineStr">
        <is>
          <t>17. KPI y updates</t>
        </is>
      </c>
      <c r="C119" s="7" t="inlineStr">
        <is>
          <t>/proyecto/kpi</t>
        </is>
      </c>
      <c r="D119" s="7" t="inlineStr">
        <is>
          <t>fundadora@marea.test</t>
        </is>
      </c>
      <c r="E119" s="8" t="inlineStr">
        <is>
          <t>Cargar los KPI del mes</t>
        </is>
      </c>
      <c r="F119" s="8" t="inlineStr">
        <is>
          <t>Cargar los valores del mes y guardar.</t>
        </is>
      </c>
      <c r="G119" s="8" t="inlineStr">
        <is>
          <t>Se guardan y aparecen en la serie.</t>
        </is>
      </c>
      <c r="H119" s="8" t="inlineStr"/>
      <c r="I119" s="8" t="inlineStr"/>
      <c r="J119" s="8" t="inlineStr"/>
    </row>
    <row r="120" ht="42" customHeight="1">
      <c r="A120" s="5" t="inlineStr">
        <is>
          <t>17.02</t>
        </is>
      </c>
      <c r="B120" s="6" t="inlineStr">
        <is>
          <t>17. KPI y updates</t>
        </is>
      </c>
      <c r="C120" s="7" t="inlineStr">
        <is>
          <t>/proyecto/kpi</t>
        </is>
      </c>
      <c r="D120" s="7" t="inlineStr">
        <is>
          <t>fundadora@marea.test</t>
        </is>
      </c>
      <c r="E120" s="8" t="inlineStr">
        <is>
          <t>Las derivadas se calculan solas</t>
        </is>
      </c>
      <c r="F120" s="8" t="inlineStr">
        <is>
          <t>Mirar runway, crecimiento y demás después de cargar.</t>
        </is>
      </c>
      <c r="G120" s="8" t="inlineStr">
        <is>
          <t>Salen calculadas. NO hay que teclearlas, y no se dejan editar a mano.</t>
        </is>
      </c>
      <c r="H120" s="8" t="inlineStr"/>
      <c r="I120" s="8" t="inlineStr"/>
      <c r="J120" s="8" t="inlineStr"/>
    </row>
    <row r="121" ht="42" customHeight="1">
      <c r="A121" s="5" t="inlineStr">
        <is>
          <t>17.03</t>
        </is>
      </c>
      <c r="B121" s="6" t="inlineStr">
        <is>
          <t>17. KPI y updates</t>
        </is>
      </c>
      <c r="C121" s="7" t="inlineStr">
        <is>
          <t>/proyecto/kpi</t>
        </is>
      </c>
      <c r="D121" s="7" t="inlineStr">
        <is>
          <t>fundadora@marea.test</t>
        </is>
      </c>
      <c r="E121" s="8" t="inlineStr">
        <is>
          <t>Escribir el update del mes</t>
        </is>
      </c>
      <c r="F121" s="8" t="inlineStr">
        <is>
          <t>Escribir logros, bloqueos y lo que viene. Guardar.</t>
        </is>
      </c>
      <c r="G121" s="8" t="inlineStr">
        <is>
          <t>Se guarda y se ve desde IWL con su fecha.</t>
        </is>
      </c>
      <c r="H121" s="8" t="inlineStr"/>
      <c r="I121" s="8" t="inlineStr"/>
      <c r="J121" s="8" t="inlineStr"/>
    </row>
    <row r="122" ht="42" customHeight="1">
      <c r="A122" s="5" t="inlineStr">
        <is>
          <t>17.04</t>
        </is>
      </c>
      <c r="B122" s="6" t="inlineStr">
        <is>
          <t>17. KPI y updates</t>
        </is>
      </c>
      <c r="C122" s="7" t="inlineStr">
        <is>
          <t>/cartera/&lt;slug&gt;/kpi</t>
        </is>
      </c>
      <c r="D122" s="7" t="inlineStr">
        <is>
          <t>programa@iwl.test</t>
        </is>
      </c>
      <c r="E122" s="8" t="inlineStr">
        <is>
          <t>La serie en el tiempo</t>
        </is>
      </c>
      <c r="F122" s="8" t="inlineStr">
        <is>
          <t>Mirar el gráfico de varios meses.</t>
        </is>
      </c>
      <c r="G122" s="8" t="inlineStr">
        <is>
          <t>Cuadra con lo cargado. Cada serie lleva etiqueta de texto.</t>
        </is>
      </c>
      <c r="H122" s="8" t="inlineStr"/>
      <c r="I122" s="8" t="inlineStr"/>
      <c r="J122" s="8" t="inlineStr"/>
    </row>
    <row r="123" ht="42" customHeight="1">
      <c r="A123" s="5" t="inlineStr">
        <is>
          <t>17.05</t>
        </is>
      </c>
      <c r="B123" s="6" t="inlineStr">
        <is>
          <t>17. KPI y updates</t>
        </is>
      </c>
      <c r="C123" s="7" t="inlineStr">
        <is>
          <t>/proyecto/kpi</t>
        </is>
      </c>
      <c r="D123" s="7" t="inlineStr">
        <is>
          <t>fundadora@marea.test</t>
        </is>
      </c>
      <c r="E123" s="8" t="inlineStr">
        <is>
          <t>Un mes sin cargar no es un cero</t>
        </is>
      </c>
      <c r="F123" s="8" t="inlineStr">
        <is>
          <t>Dejar un mes sin cargar y mirar el gráfico.</t>
        </is>
      </c>
      <c r="G123" s="8" t="inlineStr">
        <is>
          <t>Se ve el hueco. No se dibuja una caída a cero.</t>
        </is>
      </c>
      <c r="H123" s="8" t="inlineStr"/>
      <c r="I123" s="8" t="inlineStr"/>
      <c r="J123" s="8" t="inlineStr"/>
    </row>
    <row r="124" ht="42" customHeight="1">
      <c r="A124" s="5" t="inlineStr">
        <is>
          <t>18.01</t>
        </is>
      </c>
      <c r="B124" s="6" t="inlineStr">
        <is>
          <t>18. Línea base</t>
        </is>
      </c>
      <c r="C124" s="7" t="inlineStr">
        <is>
          <t>/cartera/&lt;slug&gt;</t>
        </is>
      </c>
      <c r="D124" s="7" t="inlineStr">
        <is>
          <t>admin@iwl.test</t>
        </is>
      </c>
      <c r="E124" s="8" t="inlineStr">
        <is>
          <t>Congelar la línea base</t>
        </is>
      </c>
      <c r="F124" s="8" t="inlineStr">
        <is>
          <t>Congelar la línea base de una compañía.</t>
        </is>
      </c>
      <c r="G124" s="8" t="inlineStr">
        <is>
          <t>Queda congelada y a partir de ahí hay con qué comparar.</t>
        </is>
      </c>
      <c r="H124" s="8" t="inlineStr"/>
      <c r="I124" s="8" t="inlineStr"/>
      <c r="J124" s="8" t="inlineStr"/>
    </row>
    <row r="125" ht="42" customHeight="1">
      <c r="A125" s="5" t="inlineStr">
        <is>
          <t>18.02</t>
        </is>
      </c>
      <c r="B125" s="6" t="inlineStr">
        <is>
          <t>18. Línea base</t>
        </is>
      </c>
      <c r="C125" s="7" t="inlineStr">
        <is>
          <t>/cartera/&lt;slug&gt;</t>
        </is>
      </c>
      <c r="D125" s="7" t="inlineStr">
        <is>
          <t>admin@iwl.test</t>
        </is>
      </c>
      <c r="E125" s="8" t="inlineStr">
        <is>
          <t>Una línea base congelada no se edita</t>
        </is>
      </c>
      <c r="F125" s="8" t="inlineStr">
        <is>
          <t>Intentar cambiar una línea base ya congelada.</t>
        </is>
      </c>
      <c r="G125" s="8" t="inlineStr">
        <is>
          <t>No deja. Está congelada.</t>
        </is>
      </c>
      <c r="H125" s="8" t="inlineStr"/>
      <c r="I125" s="8" t="inlineStr"/>
      <c r="J125" s="8" t="inlineStr"/>
    </row>
    <row r="126" ht="42" customHeight="1">
      <c r="A126" s="5" t="inlineStr">
        <is>
          <t>18.03</t>
        </is>
      </c>
      <c r="B126" s="6" t="inlineStr">
        <is>
          <t>18. Línea base</t>
        </is>
      </c>
      <c r="C126" s="7" t="inlineStr">
        <is>
          <t>/cartera/&lt;slug&gt;</t>
        </is>
      </c>
      <c r="D126" s="7" t="inlineStr">
        <is>
          <t>programa@iwl.test</t>
        </is>
      </c>
      <c r="E126" s="8" t="inlineStr">
        <is>
          <t>La instantánea usa el mismo cálculo</t>
        </is>
      </c>
      <c r="F126" s="8" t="inlineStr">
        <is>
          <t>Comparar la cifra de la instantánea con la que se ve en pantalla.</t>
        </is>
      </c>
      <c r="G126" s="8" t="inlineStr">
        <is>
          <t>Son la misma. El cálculo no está reimplementado en dos sitios.</t>
        </is>
      </c>
      <c r="H126" s="8" t="inlineStr"/>
      <c r="I126" s="8" t="inlineStr"/>
      <c r="J126" s="8" t="inlineStr"/>
    </row>
    <row r="127" ht="42" customHeight="1">
      <c r="A127" s="5" t="inlineStr">
        <is>
          <t>19.01</t>
        </is>
      </c>
      <c r="B127" s="6" t="inlineStr">
        <is>
          <t>19. Administración</t>
        </is>
      </c>
      <c r="C127" s="7" t="inlineStr">
        <is>
          <t>/admin/companias</t>
        </is>
      </c>
      <c r="D127" s="7" t="inlineStr">
        <is>
          <t>admin@iwl.test</t>
        </is>
      </c>
      <c r="E127" s="8" t="inlineStr">
        <is>
          <t>Dar de alta una compañía a mano</t>
        </is>
      </c>
      <c r="F127" s="8" t="inlineStr">
        <is>
          <t>Crear una compañía con su cohorte y su hoja de ruta.</t>
        </is>
      </c>
      <c r="G127" s="8" t="inlineStr">
        <is>
          <t>Queda lista para trabajar, sin pasos sueltos pendientes.</t>
        </is>
      </c>
      <c r="H127" s="8" t="inlineStr"/>
      <c r="I127" s="8" t="inlineStr"/>
      <c r="J127" s="8" t="inlineStr"/>
    </row>
    <row r="128" ht="42" customHeight="1">
      <c r="A128" s="5" t="inlineStr">
        <is>
          <t>19.02</t>
        </is>
      </c>
      <c r="B128" s="6" t="inlineStr">
        <is>
          <t>19. Administración</t>
        </is>
      </c>
      <c r="C128" s="7" t="inlineStr">
        <is>
          <t>/cartera/&lt;slug&gt;</t>
        </is>
      </c>
      <c r="D128" s="7" t="inlineStr">
        <is>
          <t>admin@iwl.test</t>
        </is>
      </c>
      <c r="E128" s="8" t="inlineStr">
        <is>
          <t>Editar la ficha desde la propia compañía</t>
        </is>
      </c>
      <c r="F128" s="8" t="inlineStr">
        <is>
          <t>En la cabecera, al lado del nombre: «Editar la ficha».</t>
        </is>
      </c>
      <c r="G128" s="8" t="inlineStr">
        <is>
          <t>Lleva al formulario de esa compañía YA ABIERTO. No hay que buscarla en la lista.</t>
        </is>
      </c>
      <c r="H128" s="8" t="inlineStr"/>
      <c r="I128" s="8" t="inlineStr"/>
      <c r="J128" s="8" t="inlineStr"/>
    </row>
    <row r="129" ht="42" customHeight="1">
      <c r="A129" s="5" t="inlineStr">
        <is>
          <t>19.03</t>
        </is>
      </c>
      <c r="B129" s="6" t="inlineStr">
        <is>
          <t>19. Administración</t>
        </is>
      </c>
      <c r="C129" s="7" t="inlineStr">
        <is>
          <t>/admin/companias</t>
        </is>
      </c>
      <c r="D129" s="7" t="inlineStr">
        <is>
          <t>admin@iwl.test</t>
        </is>
      </c>
      <c r="E129" s="8" t="inlineStr">
        <is>
          <t>Cambiar el nombre de una startup</t>
        </is>
      </c>
      <c r="F129" s="8" t="inlineStr">
        <is>
          <t>Editar → cambiar el nombre → Guardar.</t>
        </is>
      </c>
      <c r="G129" s="8" t="inlineStr">
        <is>
          <t>Dice «Ficha actualizada.» y el panel SE QUEDA ABIERTO para que se lea. El nombre nuevo sale en toda la plataforma.</t>
        </is>
      </c>
      <c r="H129" s="8" t="inlineStr"/>
      <c r="I129" s="8" t="inlineStr"/>
      <c r="J129" s="8" t="inlineStr"/>
    </row>
    <row r="130" ht="42" customHeight="1">
      <c r="A130" s="5" t="inlineStr">
        <is>
          <t>19.04</t>
        </is>
      </c>
      <c r="B130" s="6" t="inlineStr">
        <is>
          <t>19. Administración</t>
        </is>
      </c>
      <c r="C130" s="7" t="inlineStr">
        <is>
          <t>/admin/companias</t>
        </is>
      </c>
      <c r="D130" s="7" t="inlineStr">
        <is>
          <t>admin@iwl.test</t>
        </is>
      </c>
      <c r="E130" s="8" t="inlineStr">
        <is>
          <t>Los campos que faltaban</t>
        </is>
      </c>
      <c r="F130" s="8" t="inlineStr">
        <is>
          <t>En el mismo formulario: web, fecha de constitución y liderazgo femenino. Probar «60 %» con signo.</t>
        </is>
      </c>
      <c r="G130" s="8" t="inlineStr">
        <is>
          <t>Los tres se guardan. El porcentaje admite el signo y la coma.</t>
        </is>
      </c>
      <c r="H130" s="8" t="inlineStr"/>
      <c r="I130" s="8" t="inlineStr"/>
      <c r="J130" s="8" t="inlineStr"/>
    </row>
    <row r="131" ht="42" customHeight="1">
      <c r="A131" s="5" t="inlineStr">
        <is>
          <t>19.05</t>
        </is>
      </c>
      <c r="B131" s="6" t="inlineStr">
        <is>
          <t>19. Administración</t>
        </is>
      </c>
      <c r="C131" s="7" t="inlineStr">
        <is>
          <t>/embudo/&lt;id&gt;</t>
        </is>
      </c>
      <c r="D131" s="7" t="inlineStr">
        <is>
          <t>admin@iwl.test</t>
        </is>
      </c>
      <c r="E131" s="8" t="inlineStr">
        <is>
          <t>Corregir los datos de una candidatura</t>
        </is>
      </c>
      <c r="F131" s="8" t="inlineStr">
        <is>
          <t>En «Con quién se habla»: «Corregir los datos». Cambiar el nombre o el correo.</t>
        </is>
      </c>
      <c r="G131" s="8" t="inlineStr">
        <is>
          <t>Se guarda. Antes esto no se podía: una startup mal escrita se quedaba así hasta firmar.</t>
        </is>
      </c>
      <c r="H131" s="8" t="inlineStr"/>
      <c r="I131" s="8" t="inlineStr"/>
      <c r="J131" s="8" t="inlineStr"/>
    </row>
    <row r="132" ht="42" customHeight="1">
      <c r="A132" s="5" t="inlineStr">
        <is>
          <t>19.06</t>
        </is>
      </c>
      <c r="B132" s="6" t="inlineStr">
        <is>
          <t>19. Administración</t>
        </is>
      </c>
      <c r="C132" s="7" t="inlineStr">
        <is>
          <t>Todas</t>
        </is>
      </c>
      <c r="D132" s="7" t="inlineStr">
        <is>
          <t>—</t>
        </is>
      </c>
      <c r="E132" s="8" t="inlineStr">
        <is>
          <t>Un acuse no se pierde al cerrarse su panel</t>
        </is>
      </c>
      <c r="F132" s="8" t="inlineStr">
        <is>
          <t>En cualquier formulario que se abra y cierre: guardar y mirar.</t>
        </is>
      </c>
      <c r="G132" s="8" t="inlineStr">
        <is>
          <t>El mensaje se lee y el panel sigue abierto hasta que lo cierras tú.</t>
        </is>
      </c>
      <c r="H132" s="8" t="inlineStr"/>
      <c r="I132" s="8" t="inlineStr"/>
      <c r="J132" s="8" t="inlineStr"/>
    </row>
    <row r="133" ht="42" customHeight="1">
      <c r="A133" s="5" t="inlineStr">
        <is>
          <t>19.07</t>
        </is>
      </c>
      <c r="B133" s="6" t="inlineStr">
        <is>
          <t>19. Administración</t>
        </is>
      </c>
      <c r="C133" s="7" t="inlineStr">
        <is>
          <t>/admin/companias</t>
        </is>
      </c>
      <c r="D133" s="7" t="inlineStr">
        <is>
          <t>admin@iwl.test</t>
        </is>
      </c>
      <c r="E133" s="8" t="inlineStr">
        <is>
          <t>Editar, archivar y restaurar</t>
        </is>
      </c>
      <c r="F133" s="8" t="inlineStr">
        <is>
          <t>Editar los datos, archivarla y restaurarla.</t>
        </is>
      </c>
      <c r="G133" s="8" t="inlineStr">
        <is>
          <t>Las tres funcionan. Archivar saca de la cartera y conserva el histórico entero.</t>
        </is>
      </c>
      <c r="H133" s="8" t="inlineStr"/>
      <c r="I133" s="8" t="inlineStr"/>
      <c r="J133" s="8" t="inlineStr"/>
    </row>
    <row r="134" ht="42" customHeight="1">
      <c r="A134" s="5" t="inlineStr">
        <is>
          <t>19.08</t>
        </is>
      </c>
      <c r="B134" s="6" t="inlineStr">
        <is>
          <t>19. Administración</t>
        </is>
      </c>
      <c r="C134" s="7" t="inlineStr">
        <is>
          <t>/admin/companias</t>
        </is>
      </c>
      <c r="D134" s="7" t="inlineStr">
        <is>
          <t>admin@iwl.test</t>
        </is>
      </c>
      <c r="E134" s="8" t="inlineStr">
        <is>
          <t>Borrar una compañía vacía</t>
        </is>
      </c>
      <c r="F134" s="8" t="inlineStr">
        <is>
          <t>Dar de alta una y borrarla sin tocar nada más.</t>
        </is>
      </c>
      <c r="G134" s="8" t="inlineStr">
        <is>
          <t>Sale «Borrar» a secas. Pide escribir el identificador y se va.</t>
        </is>
      </c>
      <c r="H134" s="8" t="inlineStr"/>
      <c r="I134" s="8" t="inlineStr"/>
      <c r="J134" s="8" t="inlineStr"/>
    </row>
    <row r="135" ht="42" customHeight="1">
      <c r="A135" s="5" t="inlineStr">
        <is>
          <t>19.09</t>
        </is>
      </c>
      <c r="B135" s="6" t="inlineStr">
        <is>
          <t>19. Administración</t>
        </is>
      </c>
      <c r="C135" s="7" t="inlineStr">
        <is>
          <t>/admin/companias</t>
        </is>
      </c>
      <c r="D135" s="7" t="inlineStr">
        <is>
          <t>admin@iwl.test</t>
        </is>
      </c>
      <c r="E135" s="8" t="inlineStr">
        <is>
          <t>Borrar una con histórico</t>
        </is>
      </c>
      <c r="F135" s="8" t="inlineStr">
        <is>
          <t>En una que tenga Anexo u horas: «Borrar con su histórico».</t>
        </is>
      </c>
      <c r="G135" s="8" t="inlineStr">
        <is>
          <t>Primero recuerda que lo normal es archivar. Luego dice QUÉ destruye («1 Anexo, 3 horas…») y pide el identificador exacto.</t>
        </is>
      </c>
      <c r="H135" s="8" t="inlineStr"/>
      <c r="I135" s="8" t="inlineStr"/>
      <c r="J135" s="8" t="inlineStr"/>
    </row>
    <row r="136" ht="42" customHeight="1">
      <c r="A136" s="5" t="inlineStr">
        <is>
          <t>19.10</t>
        </is>
      </c>
      <c r="B136" s="6" t="inlineStr">
        <is>
          <t>19. Administración</t>
        </is>
      </c>
      <c r="C136" s="7" t="inlineStr">
        <is>
          <t>/admin/companias</t>
        </is>
      </c>
      <c r="D136" s="7" t="inlineStr">
        <is>
          <t>admin@iwl.test</t>
        </is>
      </c>
      <c r="E136" s="8" t="inlineStr">
        <is>
          <t>La lista se entera de lo que pasa en otra pantalla</t>
        </is>
      </c>
      <c r="F136" s="8" t="inlineStr">
        <is>
          <t>Abrir un Anexo de una compañía y volver a Compañías pulsando en el menú.</t>
        </is>
      </c>
      <c r="G136" s="8" t="inlineStr">
        <is>
          <t>Ya dice «Borrar con su histórico», no «Borrar» a secas. Si ofreciera el borrado simple, la base lo rechazaría.</t>
        </is>
      </c>
      <c r="H136" s="8" t="inlineStr"/>
      <c r="I136" s="8" t="inlineStr"/>
      <c r="J136" s="8" t="inlineStr"/>
    </row>
    <row r="137" ht="42" customHeight="1">
      <c r="A137" s="5" t="inlineStr">
        <is>
          <t>19.11</t>
        </is>
      </c>
      <c r="B137" s="6" t="inlineStr">
        <is>
          <t>19. Administración</t>
        </is>
      </c>
      <c r="C137" s="7" t="inlineStr">
        <is>
          <t>/admin/personas</t>
        </is>
      </c>
      <c r="D137" s="7" t="inlineStr">
        <is>
          <t>admin@iwl.test</t>
        </is>
      </c>
      <c r="E137" s="8" t="inlineStr">
        <is>
          <t>Crear una persona con su contraseña</t>
        </is>
      </c>
      <c r="F137" s="8" t="inlineStr">
        <is>
          <t>Dar de alta a una persona. Dejar la contraseña en blanco para que la genere ella.</t>
        </is>
      </c>
      <c r="G137" s="8" t="inlineStr">
        <is>
          <t>Se enseña la contraseña generada —tres palabras y un número, dictable por teléfono— con aviso de que no se repite.</t>
        </is>
      </c>
      <c r="H137" s="8" t="inlineStr"/>
      <c r="I137" s="8" t="inlineStr"/>
      <c r="J137" s="8" t="inlineStr"/>
    </row>
    <row r="138" ht="42" customHeight="1">
      <c r="A138" s="5" t="inlineStr">
        <is>
          <t>19.12</t>
        </is>
      </c>
      <c r="B138" s="6" t="inlineStr">
        <is>
          <t>19. Administración</t>
        </is>
      </c>
      <c r="C138" s="7" t="inlineStr">
        <is>
          <t>/admin/personas</t>
        </is>
      </c>
      <c r="D138" s="7" t="inlineStr">
        <is>
          <t>admin@iwl.test</t>
        </is>
      </c>
      <c r="E138" s="8" t="inlineStr">
        <is>
          <t>Restablecer la contraseña de alguien que se quedó fuera</t>
        </is>
      </c>
      <c r="F138" s="8" t="inlineStr">
        <is>
          <t>En la fila de esa persona: «Restablecer contraseña» → Generar → Guardar contraseña.</t>
        </is>
      </c>
      <c r="G138" s="8" t="inlineStr">
        <is>
          <t>El panel SE QUEDA ABIERTO con la contraseña a la vista y botón de copiar, hasta pulsar Hecho. Y entra con ella.</t>
        </is>
      </c>
      <c r="H138" s="8" t="inlineStr"/>
      <c r="I138" s="8" t="inlineStr"/>
      <c r="J138" s="8" t="inlineStr"/>
    </row>
    <row r="139" ht="42" customHeight="1">
      <c r="A139" s="5" t="inlineStr">
        <is>
          <t>19.13</t>
        </is>
      </c>
      <c r="B139" s="6" t="inlineStr">
        <is>
          <t>19. Administración</t>
        </is>
      </c>
      <c r="C139" s="7" t="inlineStr">
        <is>
          <t>/admin/personas</t>
        </is>
      </c>
      <c r="D139" s="7" t="inlineStr">
        <is>
          <t>admin@iwl.test</t>
        </is>
      </c>
      <c r="E139" s="8" t="inlineStr">
        <is>
          <t>El verbo cambia según el caso</t>
        </is>
      </c>
      <c r="F139" s="8" t="inlineStr">
        <is>
          <t>Comparar la fila de alguien que nunca entró con la de alguien que sí.</t>
        </is>
      </c>
      <c r="G139" s="8" t="inlineStr">
        <is>
          <t>«Poner contraseña» en la primera, «Restablecer contraseña» en la segunda.</t>
        </is>
      </c>
      <c r="H139" s="8" t="inlineStr"/>
      <c r="I139" s="8" t="inlineStr"/>
      <c r="J139" s="8" t="inlineStr"/>
    </row>
    <row r="140" ht="42" customHeight="1">
      <c r="A140" s="5" t="inlineStr">
        <is>
          <t>19.14</t>
        </is>
      </c>
      <c r="B140" s="6" t="inlineStr">
        <is>
          <t>19. Administración</t>
        </is>
      </c>
      <c r="C140" s="7" t="inlineStr">
        <is>
          <t>/admin/personas</t>
        </is>
      </c>
      <c r="D140" s="7" t="inlineStr">
        <is>
          <t>admin@iwl.test</t>
        </is>
      </c>
      <c r="E140" s="8" t="inlineStr">
        <is>
          <t>La propia NO se cambia desde el panel</t>
        </is>
      </c>
      <c r="F140" s="8" t="inlineStr">
        <is>
          <t>Buscar el botón de contraseña en tu propia fila.</t>
        </is>
      </c>
      <c r="G140" s="8" t="inlineStr">
        <is>
          <t>No está. En su lugar, «Tu contraseña se cambia en Mi cuenta», que lleva a /perfil. Desde el panel te echaría la sesión.</t>
        </is>
      </c>
      <c r="H140" s="8" t="inlineStr"/>
      <c r="I140" s="8" t="inlineStr"/>
      <c r="J140" s="8" t="inlineStr"/>
    </row>
    <row r="141" ht="42" customHeight="1">
      <c r="A141" s="5" t="inlineStr">
        <is>
          <t>19.15</t>
        </is>
      </c>
      <c r="B141" s="6" t="inlineStr">
        <is>
          <t>19. Administración</t>
        </is>
      </c>
      <c r="C141" s="7" t="inlineStr">
        <is>
          <t>/admin/personas</t>
        </is>
      </c>
      <c r="D141" s="7" t="inlineStr">
        <is>
          <t>admin@iwl.test</t>
        </is>
      </c>
      <c r="E141" s="8" t="inlineStr">
        <is>
          <t>La lista se puede recorrer</t>
        </is>
      </c>
      <c r="F141" s="8" t="inlineStr">
        <is>
          <t>Mirar la lista entera de personas.</t>
        </is>
      </c>
      <c r="G141" s="8" t="inlineStr">
        <is>
          <t>Por cada una: nombre, posición, correo y dónde está asignada. Ni áreas ni biografía: eso está en su ficha.</t>
        </is>
      </c>
      <c r="H141" s="8" t="inlineStr"/>
      <c r="I141" s="8" t="inlineStr"/>
      <c r="J141" s="8" t="inlineStr"/>
    </row>
    <row r="142" ht="42" customHeight="1">
      <c r="A142" s="5" t="inlineStr">
        <is>
          <t>19.16</t>
        </is>
      </c>
      <c r="B142" s="6" t="inlineStr">
        <is>
          <t>19. Administración</t>
        </is>
      </c>
      <c r="C142" s="7" t="inlineStr">
        <is>
          <t>/admin/personas/&lt;id&gt;</t>
        </is>
      </c>
      <c r="D142" s="7" t="inlineStr">
        <is>
          <t>admin@iwl.test</t>
        </is>
      </c>
      <c r="E142" s="8" t="inlineStr">
        <is>
          <t>La ficha de una persona</t>
        </is>
      </c>
      <c r="F142" s="8" t="inlineStr">
        <is>
          <t>Pulsar sobre el nombre de alguien.</t>
        </is>
      </c>
      <c r="G142" s="8" t="inlineStr">
        <is>
          <t>Se abre su ficha: proyectos, horas imputadas, tareas abiertas, áreas, descripción y asignaciones con detalle.</t>
        </is>
      </c>
      <c r="H142" s="8" t="inlineStr"/>
      <c r="I142" s="8" t="inlineStr"/>
      <c r="J142" s="8" t="inlineStr"/>
    </row>
    <row r="143" ht="42" customHeight="1">
      <c r="A143" s="5" t="inlineStr">
        <is>
          <t>19.17</t>
        </is>
      </c>
      <c r="B143" s="6" t="inlineStr">
        <is>
          <t>19. Administración</t>
        </is>
      </c>
      <c r="C143" s="7" t="inlineStr">
        <is>
          <t>/admin/personas/&lt;id&gt;</t>
        </is>
      </c>
      <c r="D143" s="7" t="inlineStr">
        <is>
          <t>admin@iwl.test</t>
        </is>
      </c>
      <c r="E143" s="8" t="inlineStr">
        <is>
          <t>Adjuntar un CV</t>
        </is>
      </c>
      <c r="F143" s="8" t="inlineStr">
        <is>
          <t>En «Quién es», adjuntar un PDF y luego abrirlo.</t>
        </is>
      </c>
      <c r="G143" s="8" t="inlineStr">
        <is>
          <t>Se guarda y se abre con enlace firmado. Lo ve IWL y la propia persona; nadie más.</t>
        </is>
      </c>
      <c r="H143" s="8" t="inlineStr"/>
      <c r="I143" s="8" t="inlineStr"/>
      <c r="J143" s="8" t="inlineStr"/>
    </row>
    <row r="144" ht="42" customHeight="1">
      <c r="A144" s="5" t="inlineStr">
        <is>
          <t>19.18</t>
        </is>
      </c>
      <c r="B144" s="6" t="inlineStr">
        <is>
          <t>19. Administración</t>
        </is>
      </c>
      <c r="C144" s="7" t="inlineStr">
        <is>
          <t>/admin/personas</t>
        </is>
      </c>
      <c r="D144" s="7" t="inlineStr">
        <is>
          <t>admin@iwl.test</t>
        </is>
      </c>
      <c r="E144" s="8" t="inlineStr">
        <is>
          <t>Asignar a una compañía y cambiar el papel</t>
        </is>
      </c>
      <c r="F144" s="8" t="inlineStr">
        <is>
          <t>Asignar una persona a una compañía, cambiarle el papel y quitar la asignación.</t>
        </is>
      </c>
      <c r="G144" s="8" t="inlineStr">
        <is>
          <t>Las tres funcionan. El papel va en la asignación, no en la persona.</t>
        </is>
      </c>
      <c r="H144" s="8" t="inlineStr"/>
      <c r="I144" s="8" t="inlineStr"/>
      <c r="J144" s="8" t="inlineStr"/>
    </row>
    <row r="145" ht="42" customHeight="1">
      <c r="A145" s="5" t="inlineStr">
        <is>
          <t>19.19</t>
        </is>
      </c>
      <c r="B145" s="6" t="inlineStr">
        <is>
          <t>19. Administración</t>
        </is>
      </c>
      <c r="C145" s="7" t="inlineStr">
        <is>
          <t>/admin/personas</t>
        </is>
      </c>
      <c r="D145" s="7" t="inlineStr">
        <is>
          <t>admin@iwl.test</t>
        </is>
      </c>
      <c r="E145" s="8" t="inlineStr">
        <is>
          <t>Corregir un correo mal escrito</t>
        </is>
      </c>
      <c r="F145" s="8" t="inlineStr">
        <is>
          <t>Corregir el correo de una cuenta.</t>
        </is>
      </c>
      <c r="G145" s="8" t="inlineStr">
        <is>
          <t>Se corrige y esa persona entra con el nuevo.</t>
        </is>
      </c>
      <c r="H145" s="8" t="inlineStr"/>
      <c r="I145" s="8" t="inlineStr"/>
      <c r="J145" s="8" t="inlineStr"/>
    </row>
    <row r="146" ht="42" customHeight="1">
      <c r="A146" s="5" t="inlineStr">
        <is>
          <t>19.20</t>
        </is>
      </c>
      <c r="B146" s="6" t="inlineStr">
        <is>
          <t>19. Administración</t>
        </is>
      </c>
      <c r="C146" s="7" t="inlineStr">
        <is>
          <t>/admin/personas</t>
        </is>
      </c>
      <c r="D146" s="7" t="inlineStr">
        <is>
          <t>admin@iwl.test</t>
        </is>
      </c>
      <c r="E146" s="8" t="inlineStr">
        <is>
          <t>Archivar y borrar una persona</t>
        </is>
      </c>
      <c r="F146" s="8" t="inlineStr">
        <is>
          <t>Archivar una cuenta; borrar otra que no tenga nada registrado.</t>
        </is>
      </c>
      <c r="G146" s="8" t="inlineStr">
        <is>
          <t>Archivar le quita el acceso. Borrar solo deja si no arrastra histórico.</t>
        </is>
      </c>
      <c r="H146" s="8" t="inlineStr"/>
      <c r="I146" s="8" t="inlineStr"/>
      <c r="J146" s="8" t="inlineStr"/>
    </row>
    <row r="147" ht="42" customHeight="1">
      <c r="A147" s="5" t="inlineStr">
        <is>
          <t>19.21</t>
        </is>
      </c>
      <c r="B147" s="6" t="inlineStr">
        <is>
          <t>19. Administración</t>
        </is>
      </c>
      <c r="C147" s="7" t="inlineStr">
        <is>
          <t>/admin/evaluacion</t>
        </is>
      </c>
      <c r="D147" s="7" t="inlineStr">
        <is>
          <t>admin@iwl.test</t>
        </is>
      </c>
      <c r="E147" s="8" t="inlineStr">
        <is>
          <t>Pesos de dimensión y de área</t>
        </is>
      </c>
      <c r="F147" s="8" t="inlineStr">
        <is>
          <t>Cambiar un peso y volver a un score.</t>
        </is>
      </c>
      <c r="G147" s="8" t="inlineStr">
        <is>
          <t>El score se recalcula. Peso 0 desactiva la dimensión.</t>
        </is>
      </c>
      <c r="H147" s="8" t="inlineStr"/>
      <c r="I147" s="8" t="inlineStr"/>
      <c r="J147" s="8" t="inlineStr"/>
    </row>
    <row r="148" ht="42" customHeight="1">
      <c r="A148" s="5" t="inlineStr">
        <is>
          <t>19.22</t>
        </is>
      </c>
      <c r="B148" s="6" t="inlineStr">
        <is>
          <t>19. Administración</t>
        </is>
      </c>
      <c r="C148" s="7" t="inlineStr">
        <is>
          <t>/admin/evaluacion</t>
        </is>
      </c>
      <c r="D148" s="7" t="inlineStr">
        <is>
          <t>admin@iwl.test</t>
        </is>
      </c>
      <c r="E148" s="8" t="inlineStr">
        <is>
          <t>Objetivos por etapa</t>
        </is>
      </c>
      <c r="F148" s="8" t="inlineStr">
        <is>
          <t>Cambiar el objetivo de una dimensión para una etapa.</t>
        </is>
      </c>
      <c r="G148" s="8" t="inlineStr">
        <is>
          <t>La comparativa pasa a medir contra el nuevo objetivo.</t>
        </is>
      </c>
      <c r="H148" s="8" t="inlineStr"/>
      <c r="I148" s="8" t="inlineStr"/>
      <c r="J148" s="8" t="inlineStr"/>
    </row>
    <row r="149" ht="42" customHeight="1">
      <c r="A149" s="5" t="inlineStr">
        <is>
          <t>19.23</t>
        </is>
      </c>
      <c r="B149" s="6" t="inlineStr">
        <is>
          <t>19. Administración</t>
        </is>
      </c>
      <c r="C149" s="7" t="inlineStr">
        <is>
          <t>/admin/programa</t>
        </is>
      </c>
      <c r="D149" s="7" t="inlineStr">
        <is>
          <t>admin@iwl.test</t>
        </is>
      </c>
      <c r="E149" s="8" t="inlineStr">
        <is>
          <t>Umbrales, bandas y objetivos de tracción</t>
        </is>
      </c>
      <c r="F149" s="8" t="inlineStr">
        <is>
          <t>Tocar los umbrales de preparación y las bandas de la cohorte.</t>
        </is>
      </c>
      <c r="G149" s="8" t="inlineStr">
        <is>
          <t>Los semáforos y la lectura de la cohorte cambian en consecuencia.</t>
        </is>
      </c>
      <c r="H149" s="8" t="inlineStr"/>
      <c r="I149" s="8" t="inlineStr"/>
      <c r="J149" s="8" t="inlineStr"/>
    </row>
    <row r="150" ht="42" customHeight="1">
      <c r="A150" s="5" t="inlineStr">
        <is>
          <t>19.24</t>
        </is>
      </c>
      <c r="B150" s="6" t="inlineStr">
        <is>
          <t>19. Administración</t>
        </is>
      </c>
      <c r="C150" s="7" t="inlineStr">
        <is>
          <t>/admin/programa</t>
        </is>
      </c>
      <c r="D150" s="7" t="inlineStr">
        <is>
          <t>admin@iwl.test</t>
        </is>
      </c>
      <c r="E150" s="8" t="inlineStr">
        <is>
          <t>Tarifas por perfil</t>
        </is>
      </c>
      <c r="F150" s="8" t="inlineStr">
        <is>
          <t>Fijar la tarifa aplicada y la de mercado de un perfil.</t>
        </is>
      </c>
      <c r="G150" s="8" t="inlineStr">
        <is>
          <t>Se guardan y se usan en las horas NUEVAS.</t>
        </is>
      </c>
      <c r="H150" s="8" t="inlineStr"/>
      <c r="I150" s="8" t="inlineStr"/>
      <c r="J150" s="8" t="inlineStr"/>
    </row>
    <row r="151" ht="42" customHeight="1">
      <c r="A151" s="5" t="inlineStr">
        <is>
          <t>19.25</t>
        </is>
      </c>
      <c r="B151" s="6" t="inlineStr">
        <is>
          <t>19. Administración</t>
        </is>
      </c>
      <c r="C151" s="7" t="inlineStr">
        <is>
          <t>/admin/companias</t>
        </is>
      </c>
      <c r="D151" s="7" t="inlineStr">
        <is>
          <t>admin@iwl.test</t>
        </is>
      </c>
      <c r="E151" s="8" t="inlineStr">
        <is>
          <t>Crear una cohorte</t>
        </is>
      </c>
      <c r="F151" s="8" t="inlineStr">
        <is>
          <t>Crear una cohorte nueva.</t>
        </is>
      </c>
      <c r="G151" s="8" t="inlineStr">
        <is>
          <t>Queda disponible para dar de alta compañías y abrir convocatoria.</t>
        </is>
      </c>
      <c r="H151" s="8" t="inlineStr"/>
      <c r="I151" s="8" t="inlineStr"/>
      <c r="J151" s="8" t="inlineStr"/>
    </row>
    <row r="152" ht="42" customHeight="1">
      <c r="A152" s="5" t="inlineStr">
        <is>
          <t>19.26</t>
        </is>
      </c>
      <c r="B152" s="6" t="inlineStr">
        <is>
          <t>19. Administración</t>
        </is>
      </c>
      <c r="C152" s="7" t="inlineStr">
        <is>
          <t>/admin/companias</t>
        </is>
      </c>
      <c r="D152" s="7" t="inlineStr">
        <is>
          <t>admin@iwl.test</t>
        </is>
      </c>
      <c r="E152" s="8" t="inlineStr">
        <is>
          <t>Objetivo interno de cada compañía</t>
        </is>
      </c>
      <c r="F152" s="8" t="inlineStr">
        <is>
          <t>Fijar el objetivo interno de una compañía.</t>
        </is>
      </c>
      <c r="G152" s="8" t="inlineStr">
        <is>
          <t>Se guarda y se ve en la lectura de la cohorte.</t>
        </is>
      </c>
      <c r="H152" s="8" t="inlineStr"/>
      <c r="I152" s="8" t="inlineStr"/>
      <c r="J152" s="8" t="inlineStr"/>
    </row>
    <row r="153" ht="42" customHeight="1">
      <c r="A153" s="5" t="inlineStr">
        <is>
          <t>20.01</t>
        </is>
      </c>
      <c r="B153" s="6" t="inlineStr">
        <is>
          <t>20. Informes</t>
        </is>
      </c>
      <c r="C153" s="7" t="inlineStr">
        <is>
          <t>/informe/tecnico-inversor/&lt;slug&gt;</t>
        </is>
      </c>
      <c r="D153" s="7" t="inlineStr">
        <is>
          <t>programa@iwl.test</t>
        </is>
      </c>
      <c r="E153" s="8" t="inlineStr">
        <is>
          <t>Informe técnico para inversor</t>
        </is>
      </c>
      <c r="F153" s="8" t="inlineStr">
        <is>
          <t>Abrir el informe e imprimirlo a PDF.</t>
        </is>
      </c>
      <c r="G153" s="8" t="inlineStr">
        <is>
          <t>Sale completo, con los datos de la compañía y sin cortes de página feos.</t>
        </is>
      </c>
      <c r="H153" s="8" t="inlineStr"/>
      <c r="I153" s="8" t="inlineStr"/>
      <c r="J153" s="8" t="inlineStr"/>
    </row>
    <row r="154" ht="42" customHeight="1">
      <c r="A154" s="5" t="inlineStr">
        <is>
          <t>20.02</t>
        </is>
      </c>
      <c r="B154" s="6" t="inlineStr">
        <is>
          <t>20. Informes</t>
        </is>
      </c>
      <c r="C154" s="7" t="inlineStr">
        <is>
          <t>/informe/mensual/&lt;slug&gt;</t>
        </is>
      </c>
      <c r="D154" s="7" t="inlineStr">
        <is>
          <t>programa@iwl.test</t>
        </is>
      </c>
      <c r="E154" s="8" t="inlineStr">
        <is>
          <t>Informe mensual</t>
        </is>
      </c>
      <c r="F154" s="8" t="inlineStr">
        <is>
          <t>Abrir el informe mensual.</t>
        </is>
      </c>
      <c r="G154" s="8" t="inlineStr">
        <is>
          <t>Trae KPI, update y avance del mes.</t>
        </is>
      </c>
      <c r="H154" s="8" t="inlineStr"/>
      <c r="I154" s="8" t="inlineStr"/>
      <c r="J154" s="8" t="inlineStr"/>
    </row>
    <row r="155" ht="42" customHeight="1">
      <c r="A155" s="5" t="inlineStr">
        <is>
          <t>20.03</t>
        </is>
      </c>
      <c r="B155" s="6" t="inlineStr">
        <is>
          <t>20. Informes</t>
        </is>
      </c>
      <c r="C155" s="7" t="inlineStr">
        <is>
          <t>/informe/aportacion/&lt;slug&gt;</t>
        </is>
      </c>
      <c r="D155" s="7" t="inlineStr">
        <is>
          <t>programa@iwl.test</t>
        </is>
      </c>
      <c r="E155" s="8" t="inlineStr">
        <is>
          <t>Informe de aportación</t>
        </is>
      </c>
      <c r="F155" s="8" t="inlineStr">
        <is>
          <t>Abrir el informe de aportación.</t>
        </is>
      </c>
      <c r="G155" s="8" t="inlineStr">
        <is>
          <t>Horas, valor y quién aportó. Cuadra con el extracto.</t>
        </is>
      </c>
      <c r="H155" s="8" t="inlineStr"/>
      <c r="I155" s="8" t="inlineStr"/>
      <c r="J155" s="8" t="inlineStr"/>
    </row>
    <row r="156" ht="42" customHeight="1">
      <c r="A156" s="5" t="inlineStr">
        <is>
          <t>20.04</t>
        </is>
      </c>
      <c r="B156" s="6" t="inlineStr">
        <is>
          <t>20. Informes</t>
        </is>
      </c>
      <c r="C156" s="7" t="inlineStr">
        <is>
          <t>Terminal</t>
        </is>
      </c>
      <c r="D156" s="7" t="inlineStr">
        <is>
          <t>—</t>
        </is>
      </c>
      <c r="E156" s="8" t="inlineStr">
        <is>
          <t>Los cuatro informes en PDF de una vez</t>
        </is>
      </c>
      <c r="F156" s="8" t="inlineStr">
        <is>
          <t>Ejecutar: npm run informes</t>
        </is>
      </c>
      <c r="G156" s="8" t="inlineStr">
        <is>
          <t>Genera los cuatro PDF de la compañía sin error.</t>
        </is>
      </c>
      <c r="H156" s="8" t="inlineStr"/>
      <c r="I156" s="8" t="inlineStr"/>
      <c r="J156" s="8" t="inlineStr"/>
    </row>
    <row r="157" ht="42" customHeight="1">
      <c r="A157" s="5" t="inlineStr">
        <is>
          <t>21.01</t>
        </is>
      </c>
      <c r="B157" s="6" t="inlineStr">
        <is>
          <t>21. Permisos</t>
        </is>
      </c>
      <c r="C157" s="7" t="inlineStr">
        <is>
          <t>Varias</t>
        </is>
      </c>
      <c r="D157" s="7" t="inlineStr">
        <is>
          <t>fundadora@marea.test</t>
        </is>
      </c>
      <c r="E157" s="8" t="inlineStr">
        <is>
          <t>Una fundadora solo ve lo suyo</t>
        </is>
      </c>
      <c r="F157" s="8" t="inlineStr">
        <is>
          <t>Probar a abrir el proyecto de otra compañía por su dirección.</t>
        </is>
      </c>
      <c r="G157" s="8" t="inlineStr">
        <is>
          <t>No entra. Ni lee ni escribe.</t>
        </is>
      </c>
      <c r="H157" s="8" t="inlineStr"/>
      <c r="I157" s="8" t="inlineStr"/>
      <c r="J157" s="8" t="inlineStr"/>
    </row>
    <row r="158" ht="42" customHeight="1">
      <c r="A158" s="5" t="inlineStr">
        <is>
          <t>21.02</t>
        </is>
      </c>
      <c r="B158" s="6" t="inlineStr">
        <is>
          <t>21. Permisos</t>
        </is>
      </c>
      <c r="C158" s="7" t="inlineStr">
        <is>
          <t>Varias</t>
        </is>
      </c>
      <c r="D158" s="7" t="inlineStr">
        <is>
          <t>cto@marea.test</t>
        </is>
      </c>
      <c r="E158" s="8" t="inlineStr">
        <is>
          <t>Segunda persona del mismo equipo</t>
        </is>
      </c>
      <c r="F158" s="8" t="inlineStr">
        <is>
          <t>Entrar como la segunda cuenta de Marea y recorrer el proyecto.</t>
        </is>
      </c>
      <c r="G158" s="8" t="inlineStr">
        <is>
          <t>Ve lo mismo que la fundadora de esa compañía.</t>
        </is>
      </c>
      <c r="H158" s="8" t="inlineStr"/>
      <c r="I158" s="8" t="inlineStr"/>
      <c r="J158" s="8" t="inlineStr"/>
    </row>
    <row r="159" ht="42" customHeight="1">
      <c r="A159" s="5" t="inlineStr">
        <is>
          <t>21.03</t>
        </is>
      </c>
      <c r="B159" s="6" t="inlineStr">
        <is>
          <t>21. Permisos</t>
        </is>
      </c>
      <c r="C159" s="7" t="inlineStr">
        <is>
          <t>Varias</t>
        </is>
      </c>
      <c r="D159" s="7" t="inlineStr">
        <is>
          <t>mentor@iwl.test</t>
        </is>
      </c>
      <c r="E159" s="8" t="inlineStr">
        <is>
          <t>El mentor que coordina frente al que apoya</t>
        </is>
      </c>
      <c r="F159" s="8" t="inlineStr">
        <is>
          <t>Entrar como mentor@iwl.test en Marea (coordina) y en Raíz (apoya).</t>
        </is>
      </c>
      <c r="G159" s="8" t="inlineStr">
        <is>
          <t>Puede más en la que coordina. La diferencia está documentada a propósito.</t>
        </is>
      </c>
      <c r="H159" s="8" t="inlineStr"/>
      <c r="I159" s="8" t="inlineStr"/>
      <c r="J159" s="8" t="inlineStr"/>
    </row>
    <row r="160" ht="42" customHeight="1">
      <c r="A160" s="5" t="inlineStr">
        <is>
          <t>21.04</t>
        </is>
      </c>
      <c r="B160" s="6" t="inlineStr">
        <is>
          <t>21. Permisos</t>
        </is>
      </c>
      <c r="C160" s="7" t="inlineStr">
        <is>
          <t>Varias</t>
        </is>
      </c>
      <c r="D160" s="7" t="inlineStr">
        <is>
          <t>programa@iwl.test</t>
        </is>
      </c>
      <c r="E160" s="8" t="inlineStr">
        <is>
          <t>El equipo de IWL ve toda la cartera</t>
        </is>
      </c>
      <c r="F160" s="8" t="inlineStr">
        <is>
          <t>Recorrer varias compañías como equipo_iwl.</t>
        </is>
      </c>
      <c r="G160" s="8" t="inlineStr">
        <is>
          <t>Las ve todas, pero no entra en /admin.</t>
        </is>
      </c>
      <c r="H160" s="8" t="inlineStr"/>
      <c r="I160" s="8" t="inlineStr"/>
      <c r="J160" s="8" t="inlineStr"/>
    </row>
    <row r="161" ht="42" customHeight="1">
      <c r="A161" s="5" t="inlineStr">
        <is>
          <t>21.05</t>
        </is>
      </c>
      <c r="B161" s="6" t="inlineStr">
        <is>
          <t>21. Permisos</t>
        </is>
      </c>
      <c r="C161" s="7" t="inlineStr">
        <is>
          <t>Varias</t>
        </is>
      </c>
      <c r="D161" s="7" t="inlineStr">
        <is>
          <t>revisor@niage.test</t>
        </is>
      </c>
      <c r="E161" s="8" t="inlineStr">
        <is>
          <t>El revisor ve solo las que lleva</t>
        </is>
      </c>
      <c r="F161" s="8" t="inlineStr">
        <is>
          <t>Probar las tres compañías como revisor@niage.test.</t>
        </is>
      </c>
      <c r="G161" s="8" t="inlineStr">
        <is>
          <t>Marea y Raíz sí; Vega no.</t>
        </is>
      </c>
      <c r="H161" s="8" t="inlineStr"/>
      <c r="I161" s="8" t="inlineStr"/>
      <c r="J161" s="8" t="inlineStr"/>
    </row>
    <row r="162" ht="42" customHeight="1">
      <c r="A162" s="5" t="inlineStr">
        <is>
          <t>22.01</t>
        </is>
      </c>
      <c r="B162" s="6" t="inlineStr">
        <is>
          <t>22. Interfaz y uso</t>
        </is>
      </c>
      <c r="C162" s="7" t="inlineStr">
        <is>
          <t>Todas</t>
        </is>
      </c>
      <c r="D162" s="7" t="inlineStr">
        <is>
          <t>—</t>
        </is>
      </c>
      <c r="E162" s="8" t="inlineStr">
        <is>
          <t>El menú lateral</t>
        </is>
      </c>
      <c r="F162" s="8" t="inlineStr">
        <is>
          <t>Recorrer el menú lateral entrando y saliendo de secciones.</t>
        </is>
      </c>
      <c r="G162" s="8" t="inlineStr">
        <is>
          <t>Marca dónde estás y lleva a donde dice.</t>
        </is>
      </c>
      <c r="H162" s="8" t="inlineStr"/>
      <c r="I162" s="8" t="inlineStr"/>
      <c r="J162" s="8" t="inlineStr"/>
    </row>
    <row r="163" ht="42" customHeight="1">
      <c r="A163" s="5" t="inlineStr">
        <is>
          <t>22.02</t>
        </is>
      </c>
      <c r="B163" s="6" t="inlineStr">
        <is>
          <t>22. Interfaz y uso</t>
        </is>
      </c>
      <c r="C163" s="7" t="inlineStr">
        <is>
          <t>Todas</t>
        </is>
      </c>
      <c r="D163" s="7" t="inlineStr">
        <is>
          <t>—</t>
        </is>
      </c>
      <c r="E163" s="8" t="inlineStr">
        <is>
          <t>Papel claro y lateral oscuro</t>
        </is>
      </c>
      <c r="F163" s="8" t="inlineStr">
        <is>
          <t>Comparar la vista de la compañía y la de IWL.</t>
        </is>
      </c>
      <c r="G163" s="8" t="inlineStr">
        <is>
          <t>El área de trabajo va en claro en las dos. Lo oscuro es el lateral y la entrada.</t>
        </is>
      </c>
      <c r="H163" s="8" t="inlineStr"/>
      <c r="I163" s="8" t="inlineStr"/>
      <c r="J163" s="8" t="inlineStr"/>
    </row>
    <row r="164" ht="42" customHeight="1">
      <c r="A164" s="5" t="inlineStr">
        <is>
          <t>22.03</t>
        </is>
      </c>
      <c r="B164" s="6" t="inlineStr">
        <is>
          <t>22. Interfaz y uso</t>
        </is>
      </c>
      <c r="C164" s="7" t="inlineStr">
        <is>
          <t>Todas</t>
        </is>
      </c>
      <c r="D164" s="7" t="inlineStr">
        <is>
          <t>—</t>
        </is>
      </c>
      <c r="E164" s="8" t="inlineStr">
        <is>
          <t>Varios anchos de ventana</t>
        </is>
      </c>
      <c r="F164" s="8" t="inlineStr">
        <is>
          <t>Estrechar la ventana poco a poco: 1512, 1280, 1180, 1024, 820, 600, 390.</t>
        </is>
      </c>
      <c r="G164" s="8" t="inlineStr">
        <is>
          <t>Nada se solapa ni se corta, y no hay que desplazar en horizontal.</t>
        </is>
      </c>
      <c r="H164" s="8" t="inlineStr"/>
      <c r="I164" s="8" t="inlineStr"/>
      <c r="J164" s="8" t="inlineStr"/>
    </row>
    <row r="165" ht="42" customHeight="1">
      <c r="A165" s="5" t="inlineStr">
        <is>
          <t>22.04</t>
        </is>
      </c>
      <c r="B165" s="6" t="inlineStr">
        <is>
          <t>22. Interfaz y uso</t>
        </is>
      </c>
      <c r="C165" s="7" t="inlineStr">
        <is>
          <t>Todas</t>
        </is>
      </c>
      <c r="D165" s="7" t="inlineStr">
        <is>
          <t>—</t>
        </is>
      </c>
      <c r="E165" s="8" t="inlineStr">
        <is>
          <t>En el móvil</t>
        </is>
      </c>
      <c r="F165" s="8" t="inlineStr">
        <is>
          <t>Abrir la plataforma en el teléfono y recorrer tres o cuatro pantallas.</t>
        </is>
      </c>
      <c r="G165" s="8" t="inlineStr">
        <is>
          <t>Se usa de verdad: se lee, se pulsa y los formularios se rellenan.</t>
        </is>
      </c>
      <c r="H165" s="8" t="inlineStr"/>
      <c r="I165" s="8" t="inlineStr"/>
      <c r="J165" s="8" t="inlineStr"/>
    </row>
    <row r="166" ht="42" customHeight="1">
      <c r="A166" s="5" t="inlineStr">
        <is>
          <t>22.05</t>
        </is>
      </c>
      <c r="B166" s="6" t="inlineStr">
        <is>
          <t>22. Interfaz y uso</t>
        </is>
      </c>
      <c r="C166" s="7" t="inlineStr">
        <is>
          <t>Todas</t>
        </is>
      </c>
      <c r="D166" s="7" t="inlineStr">
        <is>
          <t>—</t>
        </is>
      </c>
      <c r="E166" s="8" t="inlineStr">
        <is>
          <t>Qué se puede pulsar se ve SIN pasar el ratón</t>
        </is>
      </c>
      <c r="F166" s="8" t="inlineStr">
        <is>
          <t>Mirar una pantalla quieto, sin mover el ratón. Y probarlo en el móvil, donde no hay ratón.</t>
        </is>
      </c>
      <c r="G166" s="8" t="inlineStr">
        <is>
          <t>Las pestañas de sección y las acciones (Editar, Archivar…) llevan cápsula con borde. No hace falta pasar por encima.</t>
        </is>
      </c>
      <c r="H166" s="8" t="inlineStr"/>
      <c r="I166" s="8" t="inlineStr"/>
      <c r="J166" s="8" t="inlineStr"/>
    </row>
    <row r="167" ht="42" customHeight="1">
      <c r="A167" s="5" t="inlineStr">
        <is>
          <t>22.06</t>
        </is>
      </c>
      <c r="B167" s="6" t="inlineStr">
        <is>
          <t>22. Interfaz y uso</t>
        </is>
      </c>
      <c r="C167" s="7" t="inlineStr">
        <is>
          <t>Todas</t>
        </is>
      </c>
      <c r="D167" s="7" t="inlineStr">
        <is>
          <t>—</t>
        </is>
      </c>
      <c r="E167" s="8" t="inlineStr">
        <is>
          <t>Los iconos de sección llevan color</t>
        </is>
      </c>
      <c r="F167" s="8" t="inlineStr">
        <is>
          <t>Mirar la fila de pestañas de una compañía y la de administración.</t>
        </is>
      </c>
      <c r="G167" s="8" t="inlineStr">
        <is>
          <t>Cada icono con su tono, y el de la sección abierta en magenta. El rótulo va siempre al lado.</t>
        </is>
      </c>
      <c r="H167" s="8" t="inlineStr"/>
      <c r="I167" s="8" t="inlineStr"/>
      <c r="J167" s="8" t="inlineStr"/>
    </row>
    <row r="168" ht="42" customHeight="1">
      <c r="A168" s="5" t="inlineStr">
        <is>
          <t>22.07</t>
        </is>
      </c>
      <c r="B168" s="6" t="inlineStr">
        <is>
          <t>22. Interfaz y uso</t>
        </is>
      </c>
      <c r="C168" s="7" t="inlineStr">
        <is>
          <t>Todas</t>
        </is>
      </c>
      <c r="D168" s="7" t="inlineStr">
        <is>
          <t>—</t>
        </is>
      </c>
      <c r="E168" s="8" t="inlineStr">
        <is>
          <t>El filete amarillo de los bloques</t>
        </is>
      </c>
      <c r="F168" s="8" t="inlineStr">
        <is>
          <t>Mirar el título de cualquier bloque.</t>
        </is>
      </c>
      <c r="G168" s="8" t="inlineStr">
        <is>
          <t>Lleva un pelo amarillo debajo. No aparece en ningún gráfico: ahí manda un solo color.</t>
        </is>
      </c>
      <c r="H168" s="8" t="inlineStr"/>
      <c r="I168" s="8" t="inlineStr"/>
      <c r="J168" s="8" t="inlineStr"/>
    </row>
    <row r="169" ht="42" customHeight="1">
      <c r="A169" s="5" t="inlineStr">
        <is>
          <t>22.08</t>
        </is>
      </c>
      <c r="B169" s="6" t="inlineStr">
        <is>
          <t>22. Interfaz y uso</t>
        </is>
      </c>
      <c r="C169" s="7" t="inlineStr">
        <is>
          <t>Todas</t>
        </is>
      </c>
      <c r="D169" s="7" t="inlineStr">
        <is>
          <t>—</t>
        </is>
      </c>
      <c r="E169" s="8" t="inlineStr">
        <is>
          <t>No queda «graduación» por ninguna parte</t>
        </is>
      </c>
      <c r="F169" s="8" t="inlineStr">
        <is>
          <t>Buscar la palabra en fases, motivos de archivo y desplegables.</t>
        </is>
      </c>
      <c r="G169" s="8" t="inlineStr">
        <is>
          <t>Ahora pone «Fin del programa».</t>
        </is>
      </c>
      <c r="H169" s="8" t="inlineStr"/>
      <c r="I169" s="8" t="inlineStr"/>
      <c r="J169" s="8" t="inlineStr"/>
    </row>
    <row r="170" ht="42" customHeight="1">
      <c r="A170" s="5" t="inlineStr">
        <is>
          <t>22.09</t>
        </is>
      </c>
      <c r="B170" s="6" t="inlineStr">
        <is>
          <t>22. Interfaz y uso</t>
        </is>
      </c>
      <c r="C170" s="7" t="inlineStr">
        <is>
          <t>Todas</t>
        </is>
      </c>
      <c r="D170" s="7" t="inlineStr">
        <is>
          <t>—</t>
        </is>
      </c>
      <c r="E170" s="8" t="inlineStr">
        <is>
          <t>Moverse solo con el teclado</t>
        </is>
      </c>
      <c r="F170" s="8" t="inlineStr">
        <is>
          <t>Recorrer una pantalla con el tabulador.</t>
        </is>
      </c>
      <c r="G170" s="8" t="inlineStr">
        <is>
          <t>Siempre se ve dónde está el foco. Nada queda inalcanzable.</t>
        </is>
      </c>
      <c r="H170" s="8" t="inlineStr"/>
      <c r="I170" s="8" t="inlineStr"/>
      <c r="J170" s="8" t="inlineStr"/>
    </row>
    <row r="171" ht="42" customHeight="1">
      <c r="A171" s="5" t="inlineStr">
        <is>
          <t>22.10</t>
        </is>
      </c>
      <c r="B171" s="6" t="inlineStr">
        <is>
          <t>22. Interfaz y uso</t>
        </is>
      </c>
      <c r="C171" s="7" t="inlineStr">
        <is>
          <t>Todas</t>
        </is>
      </c>
      <c r="D171" s="7" t="inlineStr">
        <is>
          <t>—</t>
        </is>
      </c>
      <c r="E171" s="8" t="inlineStr">
        <is>
          <t>Los gráficos no dependen del color</t>
        </is>
      </c>
      <c r="F171" s="8" t="inlineStr">
        <is>
          <t>Mirar los gráficos de cartera, comparativa y KPI.</t>
        </is>
      </c>
      <c r="G171" s="8" t="inlineStr">
        <is>
          <t>Cada serie lleva etiqueta de texto. Dos series parecidas van en dos paneles o con relleno distinto.</t>
        </is>
      </c>
      <c r="H171" s="8" t="inlineStr"/>
      <c r="I171" s="8" t="inlineStr"/>
      <c r="J171" s="8" t="inlineStr"/>
    </row>
    <row r="172" ht="42" customHeight="1">
      <c r="A172" s="5" t="inlineStr">
        <is>
          <t>22.11</t>
        </is>
      </c>
      <c r="B172" s="6" t="inlineStr">
        <is>
          <t>22. Interfaz y uso</t>
        </is>
      </c>
      <c r="C172" s="7" t="inlineStr">
        <is>
          <t>Todas</t>
        </is>
      </c>
      <c r="D172" s="7" t="inlineStr">
        <is>
          <t>—</t>
        </is>
      </c>
      <c r="E172" s="8" t="inlineStr">
        <is>
          <t>Los estados vacíos dicen qué hacer</t>
        </is>
      </c>
      <c r="F172" s="8" t="inlineStr">
        <is>
          <t>Buscar pantallas sin datos todavía.</t>
        </is>
      </c>
      <c r="G172" s="8" t="inlineStr">
        <is>
          <t>Dicen qué hacer para que haya algo, no «no hay nada».</t>
        </is>
      </c>
      <c r="H172" s="8" t="inlineStr"/>
      <c r="I172" s="8" t="inlineStr"/>
      <c r="J172" s="8" t="inlineStr"/>
    </row>
    <row r="173" ht="42" customHeight="1">
      <c r="A173" s="5" t="inlineStr">
        <is>
          <t>22.12</t>
        </is>
      </c>
      <c r="B173" s="6" t="inlineStr">
        <is>
          <t>22. Interfaz y uso</t>
        </is>
      </c>
      <c r="C173" s="7" t="inlineStr">
        <is>
          <t>Todas</t>
        </is>
      </c>
      <c r="D173" s="7" t="inlineStr">
        <is>
          <t>—</t>
        </is>
      </c>
      <c r="E173" s="8" t="inlineStr">
        <is>
          <t>Los errores están escritos para una persona</t>
        </is>
      </c>
      <c r="F173" s="8" t="inlineStr">
        <is>
          <t>Provocar dos o tres errores a propósito.</t>
        </is>
      </c>
      <c r="G173" s="8" t="inlineStr">
        <is>
          <t>Dicen qué ha pasado y qué hacer. Sin signos de exclamación y sin jerga.</t>
        </is>
      </c>
      <c r="H173" s="8" t="inlineStr"/>
      <c r="I173" s="8" t="inlineStr"/>
      <c r="J173" s="8" t="inlineStr"/>
    </row>
    <row r="174" ht="42" customHeight="1">
      <c r="A174" s="5" t="inlineStr">
        <is>
          <t>22.13</t>
        </is>
      </c>
      <c r="B174" s="6" t="inlineStr">
        <is>
          <t>22. Interfaz y uso</t>
        </is>
      </c>
      <c r="C174" s="7" t="inlineStr">
        <is>
          <t>Todas</t>
        </is>
      </c>
      <c r="D174" s="7" t="inlineStr">
        <is>
          <t>—</t>
        </is>
      </c>
      <c r="E174" s="8" t="inlineStr">
        <is>
          <t>Un formulario que falla conserva lo escrito</t>
        </is>
      </c>
      <c r="F174" s="8" t="inlineStr">
        <is>
          <t>En CUALQUIER formulario largo, forzar un error de validación.</t>
        </is>
      </c>
      <c r="G174" s="8" t="inlineStr">
        <is>
          <t>Lo escrito sigue ahí. Solo hay que volver a elegir los ficheros, que el navegador no deja reponer.</t>
        </is>
      </c>
      <c r="H174" s="8" t="inlineStr"/>
      <c r="I174" s="8" t="inlineStr"/>
      <c r="J174" s="8" t="inlineStr"/>
    </row>
    <row r="175" ht="42" customHeight="1">
      <c r="A175" s="5" t="inlineStr">
        <is>
          <t>22.14</t>
        </is>
      </c>
      <c r="B175" s="6" t="inlineStr">
        <is>
          <t>22. Interfaz y uso</t>
        </is>
      </c>
      <c r="C175" s="7" t="inlineStr">
        <is>
          <t>Todas</t>
        </is>
      </c>
      <c r="D175" s="7" t="inlineStr">
        <is>
          <t>—</t>
        </is>
      </c>
      <c r="E175" s="8" t="inlineStr">
        <is>
          <t>Una confirmación no desaparece sola</t>
        </is>
      </c>
      <c r="F175" s="8" t="inlineStr">
        <is>
          <t>Hacer acciones que cierran su propio panel (logo, firmar, dar cuenta).</t>
        </is>
      </c>
      <c r="G175" s="8" t="inlineStr">
        <is>
          <t>La confirmación se lee. Las que llevan contraseña, con más razón.</t>
        </is>
      </c>
      <c r="H175" s="8" t="inlineStr"/>
      <c r="I175" s="8" t="inlineStr"/>
      <c r="J175" s="8" t="inlineStr"/>
    </row>
  </sheetData>
  <autoFilter ref="A1:J175"/>
  <conditionalFormatting sqref="H2:H175">
    <cfRule type="cellIs" priority="1" operator="equal" dxfId="0">
      <formula>"OK"</formula>
    </cfRule>
    <cfRule type="cellIs" priority="2" operator="equal" dxfId="1">
      <formula>"Falla"</formula>
    </cfRule>
    <cfRule type="cellIs" priority="3" operator="equal" dxfId="2">
      <formula>"A medias"</formula>
    </cfRule>
    <cfRule type="cellIs" priority="4" operator="equal" dxfId="3">
      <formula>"Bloqueado"</formula>
    </cfRule>
  </conditionalFormatting>
  <conditionalFormatting sqref="I2:I175">
    <cfRule type="cellIs" priority="5" operator="equal" dxfId="4">
      <formula>"Bloqueante"</formula>
    </cfRule>
  </conditionalFormatting>
  <dataValidations count="2">
    <dataValidation sqref="H2:H175" showDropDown="0" showInputMessage="0" showErrorMessage="0" allowBlank="1" error="Elige uno de la lista." promptTitle="Resultado" prompt="OK · Falla · A medias · Bloqueado · No aplica" type="list">
      <formula1>"OK,Falla,A medias,Bloqueado,No aplica"</formula1>
    </dataValidation>
    <dataValidation sqref="I2:I175" showDropDown="0" showInputMessage="0" showErrorMessage="0" allowBlank="1" promptTitle="Gravedad" prompt="Solo si falla." type="list">
      <formula1>"Bloqueante,Importante,Menor,Cosmético"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9" t="inlineStr">
        <is>
          <t>Cómo va</t>
        </is>
      </c>
    </row>
    <row r="3" ht="24" customHeight="1">
      <c r="A3" s="10" t="inlineStr">
        <is>
          <t>Módulo</t>
        </is>
      </c>
      <c r="B3" s="10" t="inlineStr">
        <is>
          <t>Pruebas</t>
        </is>
      </c>
      <c r="C3" s="10" t="inlineStr">
        <is>
          <t>OK</t>
        </is>
      </c>
      <c r="D3" s="10" t="inlineStr">
        <is>
          <t>Falla</t>
        </is>
      </c>
      <c r="E3" s="10" t="inlineStr">
        <is>
          <t>A medias</t>
        </is>
      </c>
      <c r="F3" s="10" t="inlineStr">
        <is>
          <t>Bloqueado</t>
        </is>
      </c>
      <c r="G3" s="10" t="inlineStr">
        <is>
          <t>Sin probar</t>
        </is>
      </c>
    </row>
    <row r="4">
      <c r="A4" s="11" t="inlineStr">
        <is>
          <t>1. Acceso y cuentas</t>
        </is>
      </c>
      <c r="B4">
        <f>COUNTIF(Pruebas!$B$2:$B$175,"1. Acceso y cuentas")</f>
        <v/>
      </c>
      <c r="C4">
        <f>COUNTIFS(Pruebas!$B$2:$B$175,"1. Acceso y cuentas",Pruebas!$H$2:$H$175,"OK")</f>
        <v/>
      </c>
      <c r="D4">
        <f>COUNTIFS(Pruebas!$B$2:$B$175,"1. Acceso y cuentas",Pruebas!$H$2:$H$175,"Falla")</f>
        <v/>
      </c>
      <c r="E4">
        <f>COUNTIFS(Pruebas!$B$2:$B$175,"1. Acceso y cuentas",Pruebas!$H$2:$H$175,"A medias")</f>
        <v/>
      </c>
      <c r="F4">
        <f>COUNTIFS(Pruebas!$B$2:$B$175,"1. Acceso y cuentas",Pruebas!$H$2:$H$175,"Bloqueado")</f>
        <v/>
      </c>
      <c r="G4">
        <f>COUNTIFS(Pruebas!$B$2:$B$175,"1. Acceso y cuentas",Pruebas!$H$2:$H$175,"")</f>
        <v/>
      </c>
    </row>
    <row r="5">
      <c r="A5" s="11" t="inlineStr">
        <is>
          <t>2. Convocatoria</t>
        </is>
      </c>
      <c r="B5">
        <f>COUNTIF(Pruebas!$B$2:$B$175,"2. Convocatoria")</f>
        <v/>
      </c>
      <c r="C5">
        <f>COUNTIFS(Pruebas!$B$2:$B$175,"2. Convocatoria",Pruebas!$H$2:$H$175,"OK")</f>
        <v/>
      </c>
      <c r="D5">
        <f>COUNTIFS(Pruebas!$B$2:$B$175,"2. Convocatoria",Pruebas!$H$2:$H$175,"Falla")</f>
        <v/>
      </c>
      <c r="E5">
        <f>COUNTIFS(Pruebas!$B$2:$B$175,"2. Convocatoria",Pruebas!$H$2:$H$175,"A medias")</f>
        <v/>
      </c>
      <c r="F5">
        <f>COUNTIFS(Pruebas!$B$2:$B$175,"2. Convocatoria",Pruebas!$H$2:$H$175,"Bloqueado")</f>
        <v/>
      </c>
      <c r="G5">
        <f>COUNTIFS(Pruebas!$B$2:$B$175,"2. Convocatoria",Pruebas!$H$2:$H$175,"")</f>
        <v/>
      </c>
    </row>
    <row r="6">
      <c r="A6" s="11" t="inlineStr">
        <is>
          <t>3. Presentar candidatura</t>
        </is>
      </c>
      <c r="B6">
        <f>COUNTIF(Pruebas!$B$2:$B$175,"3. Presentar candidatura")</f>
        <v/>
      </c>
      <c r="C6">
        <f>COUNTIFS(Pruebas!$B$2:$B$175,"3. Presentar candidatura",Pruebas!$H$2:$H$175,"OK")</f>
        <v/>
      </c>
      <c r="D6">
        <f>COUNTIFS(Pruebas!$B$2:$B$175,"3. Presentar candidatura",Pruebas!$H$2:$H$175,"Falla")</f>
        <v/>
      </c>
      <c r="E6">
        <f>COUNTIFS(Pruebas!$B$2:$B$175,"3. Presentar candidatura",Pruebas!$H$2:$H$175,"A medias")</f>
        <v/>
      </c>
      <c r="F6">
        <f>COUNTIFS(Pruebas!$B$2:$B$175,"3. Presentar candidatura",Pruebas!$H$2:$H$175,"Bloqueado")</f>
        <v/>
      </c>
      <c r="G6">
        <f>COUNTIFS(Pruebas!$B$2:$B$175,"3. Presentar candidatura",Pruebas!$H$2:$H$175,"")</f>
        <v/>
      </c>
    </row>
    <row r="7">
      <c r="A7" s="11" t="inlineStr">
        <is>
          <t>4. Alta a mano</t>
        </is>
      </c>
      <c r="B7">
        <f>COUNTIF(Pruebas!$B$2:$B$175,"4. Alta a mano")</f>
        <v/>
      </c>
      <c r="C7">
        <f>COUNTIFS(Pruebas!$B$2:$B$175,"4. Alta a mano",Pruebas!$H$2:$H$175,"OK")</f>
        <v/>
      </c>
      <c r="D7">
        <f>COUNTIFS(Pruebas!$B$2:$B$175,"4. Alta a mano",Pruebas!$H$2:$H$175,"Falla")</f>
        <v/>
      </c>
      <c r="E7">
        <f>COUNTIFS(Pruebas!$B$2:$B$175,"4. Alta a mano",Pruebas!$H$2:$H$175,"A medias")</f>
        <v/>
      </c>
      <c r="F7">
        <f>COUNTIFS(Pruebas!$B$2:$B$175,"4. Alta a mano",Pruebas!$H$2:$H$175,"Bloqueado")</f>
        <v/>
      </c>
      <c r="G7">
        <f>COUNTIFS(Pruebas!$B$2:$B$175,"4. Alta a mano",Pruebas!$H$2:$H$175,"")</f>
        <v/>
      </c>
    </row>
    <row r="8">
      <c r="A8" s="11" t="inlineStr">
        <is>
          <t>5. Recorrido del embudo</t>
        </is>
      </c>
      <c r="B8">
        <f>COUNTIF(Pruebas!$B$2:$B$175,"5. Recorrido del embudo")</f>
        <v/>
      </c>
      <c r="C8">
        <f>COUNTIFS(Pruebas!$B$2:$B$175,"5. Recorrido del embudo",Pruebas!$H$2:$H$175,"OK")</f>
        <v/>
      </c>
      <c r="D8">
        <f>COUNTIFS(Pruebas!$B$2:$B$175,"5. Recorrido del embudo",Pruebas!$H$2:$H$175,"Falla")</f>
        <v/>
      </c>
      <c r="E8">
        <f>COUNTIFS(Pruebas!$B$2:$B$175,"5. Recorrido del embudo",Pruebas!$H$2:$H$175,"A medias")</f>
        <v/>
      </c>
      <c r="F8">
        <f>COUNTIFS(Pruebas!$B$2:$B$175,"5. Recorrido del embudo",Pruebas!$H$2:$H$175,"Bloqueado")</f>
        <v/>
      </c>
      <c r="G8">
        <f>COUNTIFS(Pruebas!$B$2:$B$175,"5. Recorrido del embudo",Pruebas!$H$2:$H$175,"")</f>
        <v/>
      </c>
    </row>
    <row r="9">
      <c r="A9" s="11" t="inlineStr">
        <is>
          <t>6. NDA y DD de candidata</t>
        </is>
      </c>
      <c r="B9">
        <f>COUNTIF(Pruebas!$B$2:$B$175,"6. NDA y DD de candidata")</f>
        <v/>
      </c>
      <c r="C9">
        <f>COUNTIFS(Pruebas!$B$2:$B$175,"6. NDA y DD de candidata",Pruebas!$H$2:$H$175,"OK")</f>
        <v/>
      </c>
      <c r="D9">
        <f>COUNTIFS(Pruebas!$B$2:$B$175,"6. NDA y DD de candidata",Pruebas!$H$2:$H$175,"Falla")</f>
        <v/>
      </c>
      <c r="E9">
        <f>COUNTIFS(Pruebas!$B$2:$B$175,"6. NDA y DD de candidata",Pruebas!$H$2:$H$175,"A medias")</f>
        <v/>
      </c>
      <c r="F9">
        <f>COUNTIFS(Pruebas!$B$2:$B$175,"6. NDA y DD de candidata",Pruebas!$H$2:$H$175,"Bloqueado")</f>
        <v/>
      </c>
      <c r="G9">
        <f>COUNTIFS(Pruebas!$B$2:$B$175,"6. NDA y DD de candidata",Pruebas!$H$2:$H$175,"")</f>
        <v/>
      </c>
    </row>
    <row r="10">
      <c r="A10" s="11" t="inlineStr">
        <is>
          <t>7. Acuerdo y firma</t>
        </is>
      </c>
      <c r="B10">
        <f>COUNTIF(Pruebas!$B$2:$B$175,"7. Acuerdo y firma")</f>
        <v/>
      </c>
      <c r="C10">
        <f>COUNTIFS(Pruebas!$B$2:$B$175,"7. Acuerdo y firma",Pruebas!$H$2:$H$175,"OK")</f>
        <v/>
      </c>
      <c r="D10">
        <f>COUNTIFS(Pruebas!$B$2:$B$175,"7. Acuerdo y firma",Pruebas!$H$2:$H$175,"Falla")</f>
        <v/>
      </c>
      <c r="E10">
        <f>COUNTIFS(Pruebas!$B$2:$B$175,"7. Acuerdo y firma",Pruebas!$H$2:$H$175,"A medias")</f>
        <v/>
      </c>
      <c r="F10">
        <f>COUNTIFS(Pruebas!$B$2:$B$175,"7. Acuerdo y firma",Pruebas!$H$2:$H$175,"Bloqueado")</f>
        <v/>
      </c>
      <c r="G10">
        <f>COUNTIFS(Pruebas!$B$2:$B$175,"7. Acuerdo y firma",Pruebas!$H$2:$H$175,"")</f>
        <v/>
      </c>
    </row>
    <row r="11">
      <c r="A11" s="11" t="inlineStr">
        <is>
          <t>8. Cartera y cohorte</t>
        </is>
      </c>
      <c r="B11">
        <f>COUNTIF(Pruebas!$B$2:$B$175,"8. Cartera y cohorte")</f>
        <v/>
      </c>
      <c r="C11">
        <f>COUNTIFS(Pruebas!$B$2:$B$175,"8. Cartera y cohorte",Pruebas!$H$2:$H$175,"OK")</f>
        <v/>
      </c>
      <c r="D11">
        <f>COUNTIFS(Pruebas!$B$2:$B$175,"8. Cartera y cohorte",Pruebas!$H$2:$H$175,"Falla")</f>
        <v/>
      </c>
      <c r="E11">
        <f>COUNTIFS(Pruebas!$B$2:$B$175,"8. Cartera y cohorte",Pruebas!$H$2:$H$175,"A medias")</f>
        <v/>
      </c>
      <c r="F11">
        <f>COUNTIFS(Pruebas!$B$2:$B$175,"8. Cartera y cohorte",Pruebas!$H$2:$H$175,"Bloqueado")</f>
        <v/>
      </c>
      <c r="G11">
        <f>COUNTIFS(Pruebas!$B$2:$B$175,"8. Cartera y cohorte",Pruebas!$H$2:$H$175,"")</f>
        <v/>
      </c>
    </row>
    <row r="12">
      <c r="A12" s="11" t="inlineStr">
        <is>
          <t>9. Comparativa</t>
        </is>
      </c>
      <c r="B12">
        <f>COUNTIF(Pruebas!$B$2:$B$175,"9. Comparativa")</f>
        <v/>
      </c>
      <c r="C12">
        <f>COUNTIFS(Pruebas!$B$2:$B$175,"9. Comparativa",Pruebas!$H$2:$H$175,"OK")</f>
        <v/>
      </c>
      <c r="D12">
        <f>COUNTIFS(Pruebas!$B$2:$B$175,"9. Comparativa",Pruebas!$H$2:$H$175,"Falla")</f>
        <v/>
      </c>
      <c r="E12">
        <f>COUNTIFS(Pruebas!$B$2:$B$175,"9. Comparativa",Pruebas!$H$2:$H$175,"A medias")</f>
        <v/>
      </c>
      <c r="F12">
        <f>COUNTIFS(Pruebas!$B$2:$B$175,"9. Comparativa",Pruebas!$H$2:$H$175,"Bloqueado")</f>
        <v/>
      </c>
      <c r="G12">
        <f>COUNTIFS(Pruebas!$B$2:$B$175,"9. Comparativa",Pruebas!$H$2:$H$175,"")</f>
        <v/>
      </c>
    </row>
    <row r="13">
      <c r="A13" s="11" t="inlineStr">
        <is>
          <t>10. Resumen de compañía</t>
        </is>
      </c>
      <c r="B13">
        <f>COUNTIF(Pruebas!$B$2:$B$175,"10. Resumen de compañía")</f>
        <v/>
      </c>
      <c r="C13">
        <f>COUNTIFS(Pruebas!$B$2:$B$175,"10. Resumen de compañía",Pruebas!$H$2:$H$175,"OK")</f>
        <v/>
      </c>
      <c r="D13">
        <f>COUNTIFS(Pruebas!$B$2:$B$175,"10. Resumen de compañía",Pruebas!$H$2:$H$175,"Falla")</f>
        <v/>
      </c>
      <c r="E13">
        <f>COUNTIFS(Pruebas!$B$2:$B$175,"10. Resumen de compañía",Pruebas!$H$2:$H$175,"A medias")</f>
        <v/>
      </c>
      <c r="F13">
        <f>COUNTIFS(Pruebas!$B$2:$B$175,"10. Resumen de compañía",Pruebas!$H$2:$H$175,"Bloqueado")</f>
        <v/>
      </c>
      <c r="G13">
        <f>COUNTIFS(Pruebas!$B$2:$B$175,"10. Resumen de compañía",Pruebas!$H$2:$H$175,"")</f>
        <v/>
      </c>
    </row>
    <row r="14">
      <c r="A14" s="11" t="inlineStr">
        <is>
          <t>11. Hoja de ruta</t>
        </is>
      </c>
      <c r="B14">
        <f>COUNTIF(Pruebas!$B$2:$B$175,"11. Hoja de ruta")</f>
        <v/>
      </c>
      <c r="C14">
        <f>COUNTIFS(Pruebas!$B$2:$B$175,"11. Hoja de ruta",Pruebas!$H$2:$H$175,"OK")</f>
        <v/>
      </c>
      <c r="D14">
        <f>COUNTIFS(Pruebas!$B$2:$B$175,"11. Hoja de ruta",Pruebas!$H$2:$H$175,"Falla")</f>
        <v/>
      </c>
      <c r="E14">
        <f>COUNTIFS(Pruebas!$B$2:$B$175,"11. Hoja de ruta",Pruebas!$H$2:$H$175,"A medias")</f>
        <v/>
      </c>
      <c r="F14">
        <f>COUNTIFS(Pruebas!$B$2:$B$175,"11. Hoja de ruta",Pruebas!$H$2:$H$175,"Bloqueado")</f>
        <v/>
      </c>
      <c r="G14">
        <f>COUNTIFS(Pruebas!$B$2:$B$175,"11. Hoja de ruta",Pruebas!$H$2:$H$175,"")</f>
        <v/>
      </c>
    </row>
    <row r="15">
      <c r="A15" s="11" t="inlineStr">
        <is>
          <t>12. Programa y Anexo</t>
        </is>
      </c>
      <c r="B15">
        <f>COUNTIF(Pruebas!$B$2:$B$175,"12. Programa y Anexo")</f>
        <v/>
      </c>
      <c r="C15">
        <f>COUNTIFS(Pruebas!$B$2:$B$175,"12. Programa y Anexo",Pruebas!$H$2:$H$175,"OK")</f>
        <v/>
      </c>
      <c r="D15">
        <f>COUNTIFS(Pruebas!$B$2:$B$175,"12. Programa y Anexo",Pruebas!$H$2:$H$175,"Falla")</f>
        <v/>
      </c>
      <c r="E15">
        <f>COUNTIFS(Pruebas!$B$2:$B$175,"12. Programa y Anexo",Pruebas!$H$2:$H$175,"A medias")</f>
        <v/>
      </c>
      <c r="F15">
        <f>COUNTIFS(Pruebas!$B$2:$B$175,"12. Programa y Anexo",Pruebas!$H$2:$H$175,"Bloqueado")</f>
        <v/>
      </c>
      <c r="G15">
        <f>COUNTIFS(Pruebas!$B$2:$B$175,"12. Programa y Anexo",Pruebas!$H$2:$H$175,"")</f>
        <v/>
      </c>
    </row>
    <row r="16">
      <c r="A16" s="11" t="inlineStr">
        <is>
          <t>13. Aportación de IWL</t>
        </is>
      </c>
      <c r="B16">
        <f>COUNTIF(Pruebas!$B$2:$B$175,"13. Aportación de IWL")</f>
        <v/>
      </c>
      <c r="C16">
        <f>COUNTIFS(Pruebas!$B$2:$B$175,"13. Aportación de IWL",Pruebas!$H$2:$H$175,"OK")</f>
        <v/>
      </c>
      <c r="D16">
        <f>COUNTIFS(Pruebas!$B$2:$B$175,"13. Aportación de IWL",Pruebas!$H$2:$H$175,"Falla")</f>
        <v/>
      </c>
      <c r="E16">
        <f>COUNTIFS(Pruebas!$B$2:$B$175,"13. Aportación de IWL",Pruebas!$H$2:$H$175,"A medias")</f>
        <v/>
      </c>
      <c r="F16">
        <f>COUNTIFS(Pruebas!$B$2:$B$175,"13. Aportación de IWL",Pruebas!$H$2:$H$175,"Bloqueado")</f>
        <v/>
      </c>
      <c r="G16">
        <f>COUNTIFS(Pruebas!$B$2:$B$175,"13. Aportación de IWL",Pruebas!$H$2:$H$175,"")</f>
        <v/>
      </c>
    </row>
    <row r="17">
      <c r="A17" s="11" t="inlineStr">
        <is>
          <t>14. Due diligence técnico</t>
        </is>
      </c>
      <c r="B17">
        <f>COUNTIF(Pruebas!$B$2:$B$175,"14. Due diligence técnico")</f>
        <v/>
      </c>
      <c r="C17">
        <f>COUNTIFS(Pruebas!$B$2:$B$175,"14. Due diligence técnico",Pruebas!$H$2:$H$175,"OK")</f>
        <v/>
      </c>
      <c r="D17">
        <f>COUNTIFS(Pruebas!$B$2:$B$175,"14. Due diligence técnico",Pruebas!$H$2:$H$175,"Falla")</f>
        <v/>
      </c>
      <c r="E17">
        <f>COUNTIFS(Pruebas!$B$2:$B$175,"14. Due diligence técnico",Pruebas!$H$2:$H$175,"A medias")</f>
        <v/>
      </c>
      <c r="F17">
        <f>COUNTIFS(Pruebas!$B$2:$B$175,"14. Due diligence técnico",Pruebas!$H$2:$H$175,"Bloqueado")</f>
        <v/>
      </c>
      <c r="G17">
        <f>COUNTIFS(Pruebas!$B$2:$B$175,"14. Due diligence técnico",Pruebas!$H$2:$H$175,"")</f>
        <v/>
      </c>
    </row>
    <row r="18">
      <c r="A18" s="11" t="inlineStr">
        <is>
          <t>15. Due diligence general</t>
        </is>
      </c>
      <c r="B18">
        <f>COUNTIF(Pruebas!$B$2:$B$175,"15. Due diligence general")</f>
        <v/>
      </c>
      <c r="C18">
        <f>COUNTIFS(Pruebas!$B$2:$B$175,"15. Due diligence general",Pruebas!$H$2:$H$175,"OK")</f>
        <v/>
      </c>
      <c r="D18">
        <f>COUNTIFS(Pruebas!$B$2:$B$175,"15. Due diligence general",Pruebas!$H$2:$H$175,"Falla")</f>
        <v/>
      </c>
      <c r="E18">
        <f>COUNTIFS(Pruebas!$B$2:$B$175,"15. Due diligence general",Pruebas!$H$2:$H$175,"A medias")</f>
        <v/>
      </c>
      <c r="F18">
        <f>COUNTIFS(Pruebas!$B$2:$B$175,"15. Due diligence general",Pruebas!$H$2:$H$175,"Bloqueado")</f>
        <v/>
      </c>
      <c r="G18">
        <f>COUNTIFS(Pruebas!$B$2:$B$175,"15. Due diligence general",Pruebas!$H$2:$H$175,"")</f>
        <v/>
      </c>
    </row>
    <row r="19">
      <c r="A19" s="11" t="inlineStr">
        <is>
          <t>16. Business plan</t>
        </is>
      </c>
      <c r="B19">
        <f>COUNTIF(Pruebas!$B$2:$B$175,"16. Business plan")</f>
        <v/>
      </c>
      <c r="C19">
        <f>COUNTIFS(Pruebas!$B$2:$B$175,"16. Business plan",Pruebas!$H$2:$H$175,"OK")</f>
        <v/>
      </c>
      <c r="D19">
        <f>COUNTIFS(Pruebas!$B$2:$B$175,"16. Business plan",Pruebas!$H$2:$H$175,"Falla")</f>
        <v/>
      </c>
      <c r="E19">
        <f>COUNTIFS(Pruebas!$B$2:$B$175,"16. Business plan",Pruebas!$H$2:$H$175,"A medias")</f>
        <v/>
      </c>
      <c r="F19">
        <f>COUNTIFS(Pruebas!$B$2:$B$175,"16. Business plan",Pruebas!$H$2:$H$175,"Bloqueado")</f>
        <v/>
      </c>
      <c r="G19">
        <f>COUNTIFS(Pruebas!$B$2:$B$175,"16. Business plan",Pruebas!$H$2:$H$175,"")</f>
        <v/>
      </c>
    </row>
    <row r="20">
      <c r="A20" s="11" t="inlineStr">
        <is>
          <t>17. KPI y updates</t>
        </is>
      </c>
      <c r="B20">
        <f>COUNTIF(Pruebas!$B$2:$B$175,"17. KPI y updates")</f>
        <v/>
      </c>
      <c r="C20">
        <f>COUNTIFS(Pruebas!$B$2:$B$175,"17. KPI y updates",Pruebas!$H$2:$H$175,"OK")</f>
        <v/>
      </c>
      <c r="D20">
        <f>COUNTIFS(Pruebas!$B$2:$B$175,"17. KPI y updates",Pruebas!$H$2:$H$175,"Falla")</f>
        <v/>
      </c>
      <c r="E20">
        <f>COUNTIFS(Pruebas!$B$2:$B$175,"17. KPI y updates",Pruebas!$H$2:$H$175,"A medias")</f>
        <v/>
      </c>
      <c r="F20">
        <f>COUNTIFS(Pruebas!$B$2:$B$175,"17. KPI y updates",Pruebas!$H$2:$H$175,"Bloqueado")</f>
        <v/>
      </c>
      <c r="G20">
        <f>COUNTIFS(Pruebas!$B$2:$B$175,"17. KPI y updates",Pruebas!$H$2:$H$175,"")</f>
        <v/>
      </c>
    </row>
    <row r="21">
      <c r="A21" s="11" t="inlineStr">
        <is>
          <t>18. Línea base</t>
        </is>
      </c>
      <c r="B21">
        <f>COUNTIF(Pruebas!$B$2:$B$175,"18. Línea base")</f>
        <v/>
      </c>
      <c r="C21">
        <f>COUNTIFS(Pruebas!$B$2:$B$175,"18. Línea base",Pruebas!$H$2:$H$175,"OK")</f>
        <v/>
      </c>
      <c r="D21">
        <f>COUNTIFS(Pruebas!$B$2:$B$175,"18. Línea base",Pruebas!$H$2:$H$175,"Falla")</f>
        <v/>
      </c>
      <c r="E21">
        <f>COUNTIFS(Pruebas!$B$2:$B$175,"18. Línea base",Pruebas!$H$2:$H$175,"A medias")</f>
        <v/>
      </c>
      <c r="F21">
        <f>COUNTIFS(Pruebas!$B$2:$B$175,"18. Línea base",Pruebas!$H$2:$H$175,"Bloqueado")</f>
        <v/>
      </c>
      <c r="G21">
        <f>COUNTIFS(Pruebas!$B$2:$B$175,"18. Línea base",Pruebas!$H$2:$H$175,"")</f>
        <v/>
      </c>
    </row>
    <row r="22">
      <c r="A22" s="11" t="inlineStr">
        <is>
          <t>19. Administración</t>
        </is>
      </c>
      <c r="B22">
        <f>COUNTIF(Pruebas!$B$2:$B$175,"19. Administración")</f>
        <v/>
      </c>
      <c r="C22">
        <f>COUNTIFS(Pruebas!$B$2:$B$175,"19. Administración",Pruebas!$H$2:$H$175,"OK")</f>
        <v/>
      </c>
      <c r="D22">
        <f>COUNTIFS(Pruebas!$B$2:$B$175,"19. Administración",Pruebas!$H$2:$H$175,"Falla")</f>
        <v/>
      </c>
      <c r="E22">
        <f>COUNTIFS(Pruebas!$B$2:$B$175,"19. Administración",Pruebas!$H$2:$H$175,"A medias")</f>
        <v/>
      </c>
      <c r="F22">
        <f>COUNTIFS(Pruebas!$B$2:$B$175,"19. Administración",Pruebas!$H$2:$H$175,"Bloqueado")</f>
        <v/>
      </c>
      <c r="G22">
        <f>COUNTIFS(Pruebas!$B$2:$B$175,"19. Administración",Pruebas!$H$2:$H$175,"")</f>
        <v/>
      </c>
    </row>
    <row r="23">
      <c r="A23" s="11" t="inlineStr">
        <is>
          <t>20. Informes</t>
        </is>
      </c>
      <c r="B23">
        <f>COUNTIF(Pruebas!$B$2:$B$175,"20. Informes")</f>
        <v/>
      </c>
      <c r="C23">
        <f>COUNTIFS(Pruebas!$B$2:$B$175,"20. Informes",Pruebas!$H$2:$H$175,"OK")</f>
        <v/>
      </c>
      <c r="D23">
        <f>COUNTIFS(Pruebas!$B$2:$B$175,"20. Informes",Pruebas!$H$2:$H$175,"Falla")</f>
        <v/>
      </c>
      <c r="E23">
        <f>COUNTIFS(Pruebas!$B$2:$B$175,"20. Informes",Pruebas!$H$2:$H$175,"A medias")</f>
        <v/>
      </c>
      <c r="F23">
        <f>COUNTIFS(Pruebas!$B$2:$B$175,"20. Informes",Pruebas!$H$2:$H$175,"Bloqueado")</f>
        <v/>
      </c>
      <c r="G23">
        <f>COUNTIFS(Pruebas!$B$2:$B$175,"20. Informes",Pruebas!$H$2:$H$175,"")</f>
        <v/>
      </c>
    </row>
    <row r="24">
      <c r="A24" s="11" t="inlineStr">
        <is>
          <t>21. Permisos</t>
        </is>
      </c>
      <c r="B24">
        <f>COUNTIF(Pruebas!$B$2:$B$175,"21. Permisos")</f>
        <v/>
      </c>
      <c r="C24">
        <f>COUNTIFS(Pruebas!$B$2:$B$175,"21. Permisos",Pruebas!$H$2:$H$175,"OK")</f>
        <v/>
      </c>
      <c r="D24">
        <f>COUNTIFS(Pruebas!$B$2:$B$175,"21. Permisos",Pruebas!$H$2:$H$175,"Falla")</f>
        <v/>
      </c>
      <c r="E24">
        <f>COUNTIFS(Pruebas!$B$2:$B$175,"21. Permisos",Pruebas!$H$2:$H$175,"A medias")</f>
        <v/>
      </c>
      <c r="F24">
        <f>COUNTIFS(Pruebas!$B$2:$B$175,"21. Permisos",Pruebas!$H$2:$H$175,"Bloqueado")</f>
        <v/>
      </c>
      <c r="G24">
        <f>COUNTIFS(Pruebas!$B$2:$B$175,"21. Permisos",Pruebas!$H$2:$H$175,"")</f>
        <v/>
      </c>
    </row>
    <row r="25">
      <c r="A25" s="11" t="inlineStr">
        <is>
          <t>22. Interfaz y uso</t>
        </is>
      </c>
      <c r="B25">
        <f>COUNTIF(Pruebas!$B$2:$B$175,"22. Interfaz y uso")</f>
        <v/>
      </c>
      <c r="C25">
        <f>COUNTIFS(Pruebas!$B$2:$B$175,"22. Interfaz y uso",Pruebas!$H$2:$H$175,"OK")</f>
        <v/>
      </c>
      <c r="D25">
        <f>COUNTIFS(Pruebas!$B$2:$B$175,"22. Interfaz y uso",Pruebas!$H$2:$H$175,"Falla")</f>
        <v/>
      </c>
      <c r="E25">
        <f>COUNTIFS(Pruebas!$B$2:$B$175,"22. Interfaz y uso",Pruebas!$H$2:$H$175,"A medias")</f>
        <v/>
      </c>
      <c r="F25">
        <f>COUNTIFS(Pruebas!$B$2:$B$175,"22. Interfaz y uso",Pruebas!$H$2:$H$175,"Bloqueado")</f>
        <v/>
      </c>
      <c r="G25">
        <f>COUNTIFS(Pruebas!$B$2:$B$175,"22. Interfaz y uso",Pruebas!$H$2:$H$175,"")</f>
        <v/>
      </c>
    </row>
    <row r="26">
      <c r="A26" s="12" t="inlineStr">
        <is>
          <t>Total</t>
        </is>
      </c>
      <c r="B26" s="13">
        <f>SUM(B4:B25)</f>
        <v/>
      </c>
      <c r="C26" s="13">
        <f>SUM(C4:C25)</f>
        <v/>
      </c>
      <c r="D26" s="13">
        <f>SUM(D4:D25)</f>
        <v/>
      </c>
      <c r="E26" s="13">
        <f>SUM(E4:E25)</f>
        <v/>
      </c>
      <c r="F26" s="13">
        <f>SUM(F4:F25)</f>
        <v/>
      </c>
      <c r="G26" s="13">
        <f>SUM(G4:G25)</f>
        <v/>
      </c>
    </row>
    <row r="28">
      <c r="A28" s="14" t="inlineStr">
        <is>
          <t>Bloqueantes abiertos</t>
        </is>
      </c>
      <c r="B28" s="14">
        <f>COUNTIF(Pruebas!$I$2:$I$175,"Bloqueante")</f>
        <v/>
      </c>
    </row>
  </sheetData>
  <conditionalFormatting sqref="D4:D26">
    <cfRule type="cellIs" priority="1" operator="greaterThan" dxfId="1">
      <formula>0</formula>
    </cfRule>
  </conditionalFormatting>
  <conditionalFormatting sqref="C4:C26">
    <cfRule type="cellIs" priority="2" operator="greaterThan" dxfId="5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2026-10-06T08:13:54Z</dcterms:created>
  <dcterms:modified xsi:type="dcterms:W3CDTF">2026-10-06T08:13:54Z</dcterms:modified>
</cp:coreProperties>
</file>